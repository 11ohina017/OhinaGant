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download\"/>
    </mc:Choice>
  </mc:AlternateContent>
  <xr:revisionPtr revIDLastSave="0" documentId="13_ncr:1_{E619DFAB-5CE1-42BB-B97B-E4A60855B6F0}" xr6:coauthVersionLast="43" xr6:coauthVersionMax="43" xr10:uidLastSave="{00000000-0000-0000-0000-000000000000}"/>
  <bookViews>
    <workbookView xWindow="1150" yWindow="-110" windowWidth="18160" windowHeight="11020" xr2:uid="{00000000-000D-0000-FFFF-FFFF00000000}"/>
  </bookViews>
  <sheets>
    <sheet name="線表" sheetId="3" r:id="rId1"/>
    <sheet name="メンバ" sheetId="10" r:id="rId2"/>
    <sheet name="稼働日設定" sheetId="5" r:id="rId3"/>
  </sheets>
  <functionGroups builtInGroupCount="19"/>
  <externalReferences>
    <externalReference r:id="rId4"/>
  </externalReferences>
  <definedNames>
    <definedName name="_xlnm._FilterDatabase" localSheetId="0" hidden="1">線表!$A$4:$DM$180</definedName>
    <definedName name="holiday">[1]祝日!$A:$A</definedName>
    <definedName name="非稼働日" localSheetId="1">#REF!</definedName>
    <definedName name="非稼働日">稼働日設定!$C$4:$C$356</definedName>
  </definedNames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83" i="3" l="1"/>
  <c r="J84" i="3"/>
  <c r="J85" i="3"/>
  <c r="J86" i="3"/>
  <c r="J87" i="3"/>
  <c r="J88" i="3"/>
  <c r="J89" i="3"/>
  <c r="J90" i="3"/>
  <c r="J91" i="3"/>
  <c r="J92" i="3"/>
  <c r="J93" i="3"/>
  <c r="J94" i="3"/>
  <c r="J95" i="3"/>
  <c r="J174" i="3"/>
  <c r="J175" i="3"/>
  <c r="J176" i="3"/>
  <c r="J177" i="3"/>
  <c r="J39" i="3"/>
  <c r="J35" i="3"/>
  <c r="J36" i="3"/>
  <c r="J37" i="3"/>
  <c r="J38" i="3"/>
  <c r="B4" i="5" l="1"/>
  <c r="J10" i="3" l="1"/>
  <c r="K10" i="3"/>
  <c r="L10" i="3"/>
  <c r="M10" i="3"/>
  <c r="J11" i="3"/>
  <c r="K11" i="3"/>
  <c r="L11" i="3"/>
  <c r="M11" i="3"/>
  <c r="J12" i="3"/>
  <c r="K12" i="3"/>
  <c r="L12" i="3"/>
  <c r="M12" i="3"/>
  <c r="J13" i="3"/>
  <c r="K13" i="3"/>
  <c r="L13" i="3"/>
  <c r="M13" i="3"/>
  <c r="J14" i="3"/>
  <c r="K14" i="3"/>
  <c r="L14" i="3"/>
  <c r="M14" i="3"/>
  <c r="J15" i="3"/>
  <c r="K15" i="3"/>
  <c r="L15" i="3"/>
  <c r="M15" i="3"/>
  <c r="J16" i="3"/>
  <c r="K16" i="3"/>
  <c r="L16" i="3"/>
  <c r="M16" i="3"/>
  <c r="J17" i="3"/>
  <c r="K17" i="3"/>
  <c r="L17" i="3"/>
  <c r="M17" i="3"/>
  <c r="J18" i="3"/>
  <c r="K18" i="3"/>
  <c r="L18" i="3"/>
  <c r="M18" i="3"/>
  <c r="J19" i="3"/>
  <c r="K19" i="3"/>
  <c r="L19" i="3"/>
  <c r="M19" i="3"/>
  <c r="J20" i="3"/>
  <c r="K20" i="3"/>
  <c r="L20" i="3"/>
  <c r="M20" i="3"/>
  <c r="J21" i="3"/>
  <c r="K21" i="3"/>
  <c r="L21" i="3"/>
  <c r="M21" i="3"/>
  <c r="J22" i="3"/>
  <c r="K22" i="3"/>
  <c r="L22" i="3"/>
  <c r="M22" i="3"/>
  <c r="J23" i="3"/>
  <c r="K23" i="3"/>
  <c r="L23" i="3"/>
  <c r="M23" i="3"/>
  <c r="J24" i="3"/>
  <c r="K24" i="3"/>
  <c r="L24" i="3"/>
  <c r="M24" i="3"/>
  <c r="J25" i="3"/>
  <c r="K25" i="3"/>
  <c r="L25" i="3"/>
  <c r="M25" i="3"/>
  <c r="J26" i="3"/>
  <c r="K26" i="3"/>
  <c r="L26" i="3"/>
  <c r="M26" i="3"/>
  <c r="J27" i="3"/>
  <c r="K27" i="3"/>
  <c r="L27" i="3"/>
  <c r="M27" i="3"/>
  <c r="J28" i="3"/>
  <c r="K28" i="3"/>
  <c r="L28" i="3"/>
  <c r="M28" i="3"/>
  <c r="J29" i="3"/>
  <c r="K29" i="3"/>
  <c r="L29" i="3"/>
  <c r="M29" i="3"/>
  <c r="J30" i="3"/>
  <c r="K30" i="3"/>
  <c r="L30" i="3"/>
  <c r="M30" i="3"/>
  <c r="J31" i="3"/>
  <c r="K31" i="3"/>
  <c r="L31" i="3"/>
  <c r="M31" i="3"/>
  <c r="J32" i="3"/>
  <c r="K32" i="3"/>
  <c r="L32" i="3"/>
  <c r="M32" i="3"/>
  <c r="J33" i="3"/>
  <c r="K33" i="3"/>
  <c r="L33" i="3"/>
  <c r="M33" i="3"/>
  <c r="J34" i="3"/>
  <c r="K34" i="3"/>
  <c r="L34" i="3"/>
  <c r="M34" i="3"/>
  <c r="K35" i="3"/>
  <c r="L35" i="3"/>
  <c r="M35" i="3"/>
  <c r="K36" i="3"/>
  <c r="L36" i="3"/>
  <c r="M36" i="3"/>
  <c r="K37" i="3"/>
  <c r="L37" i="3"/>
  <c r="M37" i="3"/>
  <c r="K38" i="3"/>
  <c r="L38" i="3"/>
  <c r="M38" i="3"/>
  <c r="K39" i="3"/>
  <c r="L39" i="3"/>
  <c r="M39" i="3"/>
  <c r="J40" i="3"/>
  <c r="K40" i="3"/>
  <c r="L40" i="3"/>
  <c r="M40" i="3"/>
  <c r="J41" i="3"/>
  <c r="K41" i="3"/>
  <c r="L41" i="3"/>
  <c r="M41" i="3"/>
  <c r="J42" i="3"/>
  <c r="K42" i="3"/>
  <c r="L42" i="3"/>
  <c r="M42" i="3"/>
  <c r="J43" i="3"/>
  <c r="K43" i="3"/>
  <c r="L43" i="3"/>
  <c r="M43" i="3"/>
  <c r="J44" i="3"/>
  <c r="K44" i="3"/>
  <c r="L44" i="3"/>
  <c r="M44" i="3"/>
  <c r="J45" i="3"/>
  <c r="K45" i="3"/>
  <c r="L45" i="3"/>
  <c r="M45" i="3"/>
  <c r="J46" i="3"/>
  <c r="K46" i="3"/>
  <c r="L46" i="3"/>
  <c r="M46" i="3"/>
  <c r="J47" i="3"/>
  <c r="K47" i="3"/>
  <c r="L47" i="3"/>
  <c r="M47" i="3"/>
  <c r="J48" i="3"/>
  <c r="K48" i="3"/>
  <c r="L48" i="3"/>
  <c r="M48" i="3"/>
  <c r="J49" i="3"/>
  <c r="K49" i="3"/>
  <c r="L49" i="3"/>
  <c r="M49" i="3"/>
  <c r="J50" i="3"/>
  <c r="K50" i="3"/>
  <c r="L50" i="3"/>
  <c r="M50" i="3"/>
  <c r="J51" i="3"/>
  <c r="K51" i="3"/>
  <c r="L51" i="3"/>
  <c r="M51" i="3"/>
  <c r="J52" i="3"/>
  <c r="K52" i="3"/>
  <c r="L52" i="3"/>
  <c r="M52" i="3"/>
  <c r="J53" i="3"/>
  <c r="K53" i="3"/>
  <c r="L53" i="3"/>
  <c r="M53" i="3"/>
  <c r="J54" i="3"/>
  <c r="K54" i="3"/>
  <c r="L54" i="3"/>
  <c r="M54" i="3"/>
  <c r="J55" i="3"/>
  <c r="K55" i="3"/>
  <c r="L55" i="3"/>
  <c r="M55" i="3"/>
  <c r="J56" i="3"/>
  <c r="K56" i="3"/>
  <c r="L56" i="3"/>
  <c r="M56" i="3"/>
  <c r="J57" i="3"/>
  <c r="K57" i="3"/>
  <c r="L57" i="3"/>
  <c r="M57" i="3"/>
  <c r="J58" i="3"/>
  <c r="K58" i="3"/>
  <c r="L58" i="3"/>
  <c r="M58" i="3"/>
  <c r="J59" i="3"/>
  <c r="K59" i="3"/>
  <c r="L59" i="3"/>
  <c r="M59" i="3"/>
  <c r="J60" i="3"/>
  <c r="K60" i="3"/>
  <c r="L60" i="3"/>
  <c r="M60" i="3"/>
  <c r="J61" i="3"/>
  <c r="K61" i="3"/>
  <c r="L61" i="3"/>
  <c r="M61" i="3"/>
  <c r="J62" i="3"/>
  <c r="K62" i="3"/>
  <c r="L62" i="3"/>
  <c r="M62" i="3"/>
  <c r="J63" i="3"/>
  <c r="K63" i="3"/>
  <c r="L63" i="3"/>
  <c r="M63" i="3"/>
  <c r="J64" i="3"/>
  <c r="K64" i="3"/>
  <c r="L64" i="3"/>
  <c r="M64" i="3"/>
  <c r="J65" i="3"/>
  <c r="K65" i="3"/>
  <c r="L65" i="3"/>
  <c r="M65" i="3"/>
  <c r="J66" i="3"/>
  <c r="K66" i="3"/>
  <c r="L66" i="3"/>
  <c r="M66" i="3"/>
  <c r="J67" i="3"/>
  <c r="K67" i="3"/>
  <c r="L67" i="3"/>
  <c r="M67" i="3"/>
  <c r="J68" i="3"/>
  <c r="K68" i="3"/>
  <c r="L68" i="3"/>
  <c r="M68" i="3"/>
  <c r="J69" i="3"/>
  <c r="K69" i="3"/>
  <c r="L69" i="3"/>
  <c r="M69" i="3"/>
  <c r="J70" i="3"/>
  <c r="K70" i="3"/>
  <c r="L70" i="3"/>
  <c r="M70" i="3"/>
  <c r="J71" i="3"/>
  <c r="K71" i="3"/>
  <c r="L71" i="3"/>
  <c r="M71" i="3"/>
  <c r="J72" i="3"/>
  <c r="K72" i="3"/>
  <c r="L72" i="3"/>
  <c r="M72" i="3"/>
  <c r="J73" i="3"/>
  <c r="K73" i="3"/>
  <c r="L73" i="3"/>
  <c r="M73" i="3"/>
  <c r="J74" i="3"/>
  <c r="K74" i="3"/>
  <c r="L74" i="3"/>
  <c r="M74" i="3"/>
  <c r="J75" i="3"/>
  <c r="K75" i="3"/>
  <c r="L75" i="3"/>
  <c r="M75" i="3"/>
  <c r="J76" i="3"/>
  <c r="K76" i="3"/>
  <c r="L76" i="3"/>
  <c r="M76" i="3"/>
  <c r="J77" i="3"/>
  <c r="K77" i="3"/>
  <c r="L77" i="3"/>
  <c r="M77" i="3"/>
  <c r="J78" i="3"/>
  <c r="K78" i="3"/>
  <c r="L78" i="3"/>
  <c r="M78" i="3"/>
  <c r="J79" i="3"/>
  <c r="K79" i="3"/>
  <c r="L79" i="3"/>
  <c r="M79" i="3"/>
  <c r="J80" i="3"/>
  <c r="K80" i="3"/>
  <c r="L80" i="3"/>
  <c r="M80" i="3"/>
  <c r="J81" i="3"/>
  <c r="K81" i="3"/>
  <c r="L81" i="3"/>
  <c r="M81" i="3"/>
  <c r="J82" i="3"/>
  <c r="K82" i="3"/>
  <c r="L82" i="3"/>
  <c r="M82" i="3"/>
  <c r="K83" i="3"/>
  <c r="L83" i="3"/>
  <c r="M83" i="3"/>
  <c r="K84" i="3"/>
  <c r="L84" i="3"/>
  <c r="M84" i="3"/>
  <c r="K85" i="3"/>
  <c r="L85" i="3"/>
  <c r="M85" i="3"/>
  <c r="K86" i="3"/>
  <c r="L86" i="3"/>
  <c r="M86" i="3"/>
  <c r="K87" i="3"/>
  <c r="L87" i="3"/>
  <c r="M87" i="3"/>
  <c r="K88" i="3"/>
  <c r="L88" i="3"/>
  <c r="M88" i="3"/>
  <c r="K89" i="3"/>
  <c r="L89" i="3"/>
  <c r="M89" i="3"/>
  <c r="K90" i="3"/>
  <c r="L90" i="3"/>
  <c r="M90" i="3"/>
  <c r="K91" i="3"/>
  <c r="L91" i="3"/>
  <c r="M91" i="3"/>
  <c r="K92" i="3"/>
  <c r="L92" i="3"/>
  <c r="M92" i="3"/>
  <c r="M94" i="3"/>
  <c r="L94" i="3"/>
  <c r="K94" i="3"/>
  <c r="M93" i="3"/>
  <c r="L93" i="3"/>
  <c r="K93" i="3"/>
  <c r="M6" i="3" l="1"/>
  <c r="M7" i="3"/>
  <c r="M8" i="3"/>
  <c r="M9" i="3"/>
  <c r="M95" i="3"/>
  <c r="M174" i="3"/>
  <c r="M175" i="3"/>
  <c r="M176" i="3"/>
  <c r="M177" i="3"/>
  <c r="M5" i="3"/>
  <c r="L6" i="3"/>
  <c r="L7" i="3"/>
  <c r="L8" i="3"/>
  <c r="L9" i="3"/>
  <c r="L95" i="3"/>
  <c r="L174" i="3"/>
  <c r="L175" i="3"/>
  <c r="L176" i="3"/>
  <c r="L177" i="3"/>
  <c r="L5" i="3"/>
  <c r="K5" i="3"/>
  <c r="K6" i="3"/>
  <c r="K7" i="3"/>
  <c r="K8" i="3"/>
  <c r="K9" i="3"/>
  <c r="K95" i="3"/>
  <c r="K174" i="3"/>
  <c r="K175" i="3"/>
  <c r="K176" i="3"/>
  <c r="K177" i="3"/>
  <c r="J6" i="3" l="1"/>
  <c r="J7" i="3"/>
  <c r="J8" i="3"/>
  <c r="J9" i="3"/>
  <c r="J5" i="3"/>
  <c r="O3" i="3" l="1"/>
  <c r="P3" i="3" l="1"/>
  <c r="O4" i="3"/>
  <c r="O2" i="3"/>
  <c r="P4" i="3" l="1"/>
  <c r="P2" i="3"/>
  <c r="Q3" i="3"/>
  <c r="Q4" i="3" l="1"/>
  <c r="R3" i="3"/>
  <c r="Q2" i="3"/>
  <c r="R2" i="3" l="1"/>
  <c r="S3" i="3"/>
  <c r="R4" i="3"/>
  <c r="S2" i="3" l="1"/>
  <c r="S4" i="3"/>
  <c r="T3" i="3"/>
  <c r="U3" i="3" l="1"/>
  <c r="T2" i="3"/>
  <c r="T4" i="3"/>
  <c r="U2" i="3" l="1"/>
  <c r="U4" i="3"/>
  <c r="V3" i="3"/>
  <c r="V2" i="3" l="1"/>
  <c r="W3" i="3"/>
  <c r="V4" i="3"/>
  <c r="X3" i="3" l="1"/>
  <c r="W4" i="3"/>
  <c r="W2" i="3"/>
  <c r="X2" i="3" l="1"/>
  <c r="Y3" i="3"/>
  <c r="X4" i="3"/>
  <c r="Z3" i="3" l="1"/>
  <c r="Y2" i="3"/>
  <c r="Y4" i="3"/>
  <c r="Z2" i="3" l="1"/>
  <c r="AA3" i="3"/>
  <c r="Z4" i="3"/>
  <c r="AA2" i="3" l="1"/>
  <c r="AB3" i="3"/>
  <c r="AA4" i="3"/>
  <c r="AB2" i="3" l="1"/>
  <c r="AC3" i="3"/>
  <c r="AB4" i="3"/>
  <c r="AC2" i="3" l="1"/>
  <c r="AD3" i="3"/>
  <c r="AC4" i="3"/>
  <c r="AD2" i="3" l="1"/>
  <c r="AE3" i="3"/>
  <c r="AD4" i="3"/>
  <c r="AE2" i="3" l="1"/>
  <c r="AF3" i="3"/>
  <c r="AE4" i="3"/>
  <c r="AG3" i="3" l="1"/>
  <c r="AF4" i="3"/>
  <c r="AF2" i="3"/>
  <c r="AH3" i="3" l="1"/>
  <c r="AG2" i="3"/>
  <c r="AG4" i="3"/>
  <c r="AH2" i="3" l="1"/>
  <c r="AH4" i="3"/>
  <c r="AI3" i="3"/>
  <c r="AI4" i="3" l="1"/>
  <c r="AI2" i="3"/>
  <c r="AJ3" i="3"/>
  <c r="AJ2" i="3" l="1"/>
  <c r="AK3" i="3"/>
  <c r="AJ4" i="3"/>
  <c r="AL3" i="3" l="1"/>
  <c r="AK2" i="3"/>
  <c r="AK4" i="3"/>
  <c r="AL4" i="3" l="1"/>
  <c r="AL2" i="3"/>
  <c r="AM3" i="3"/>
  <c r="AM2" i="3" l="1"/>
  <c r="AM4" i="3"/>
  <c r="AN3" i="3"/>
  <c r="AO3" i="3" l="1"/>
  <c r="AN2" i="3"/>
  <c r="AN4" i="3"/>
  <c r="AO2" i="3" l="1"/>
  <c r="AO4" i="3"/>
  <c r="AP3" i="3"/>
  <c r="AP2" i="3" l="1"/>
  <c r="AP4" i="3"/>
  <c r="AQ3" i="3"/>
  <c r="AR3" i="3" l="1"/>
  <c r="AQ4" i="3"/>
  <c r="AQ2" i="3"/>
  <c r="AS3" i="3" l="1"/>
  <c r="AR4" i="3"/>
  <c r="AR2" i="3"/>
  <c r="AS2" i="3" l="1"/>
  <c r="AT3" i="3"/>
  <c r="AS4" i="3"/>
  <c r="AT2" i="3" l="1"/>
  <c r="AU3" i="3"/>
  <c r="AT4" i="3"/>
  <c r="AU2" i="3" l="1"/>
  <c r="AU4" i="3"/>
  <c r="AV3" i="3"/>
  <c r="AV2" i="3" l="1"/>
  <c r="AW3" i="3"/>
  <c r="AV4" i="3"/>
  <c r="AW2" i="3" l="1"/>
  <c r="AW4" i="3"/>
  <c r="AX3" i="3"/>
  <c r="AX2" i="3" l="1"/>
  <c r="AX4" i="3"/>
  <c r="AY3" i="3"/>
  <c r="AY2" i="3" l="1"/>
  <c r="AY4" i="3"/>
  <c r="AZ3" i="3"/>
  <c r="AZ2" i="3" l="1"/>
  <c r="AZ4" i="3"/>
  <c r="BA3" i="3"/>
  <c r="BA2" i="3" l="1"/>
  <c r="BA4" i="3"/>
  <c r="BB3" i="3"/>
  <c r="BB2" i="3" l="1"/>
  <c r="BC3" i="3"/>
  <c r="BB4" i="3"/>
  <c r="BC2" i="3" l="1"/>
  <c r="BC4" i="3"/>
  <c r="BD3" i="3"/>
  <c r="BD2" i="3" l="1"/>
  <c r="BD4" i="3"/>
  <c r="BE3" i="3"/>
  <c r="BE2" i="3" l="1"/>
  <c r="BF3" i="3"/>
  <c r="BE4" i="3"/>
  <c r="BF2" i="3" l="1"/>
  <c r="BG3" i="3"/>
  <c r="BF4" i="3"/>
  <c r="BG2" i="3" l="1"/>
  <c r="BH3" i="3"/>
  <c r="BG4" i="3"/>
  <c r="BH2" i="3" l="1"/>
  <c r="BI3" i="3"/>
  <c r="BH4" i="3"/>
  <c r="BI2" i="3" l="1"/>
  <c r="BI4" i="3"/>
  <c r="BJ3" i="3"/>
  <c r="BJ2" i="3" l="1"/>
  <c r="BK3" i="3"/>
  <c r="BJ4" i="3"/>
  <c r="BK2" i="3" l="1"/>
  <c r="BK4" i="3"/>
  <c r="BL3" i="3"/>
  <c r="BL2" i="3" l="1"/>
  <c r="BL4" i="3"/>
  <c r="BM3" i="3"/>
  <c r="BM2" i="3" l="1"/>
  <c r="BM4" i="3"/>
  <c r="BN3" i="3"/>
  <c r="BN2" i="3" l="1"/>
  <c r="BO3" i="3"/>
  <c r="BN4" i="3"/>
  <c r="BO2" i="3" l="1"/>
  <c r="BO4" i="3"/>
  <c r="BP3" i="3"/>
  <c r="BP2" i="3" l="1"/>
  <c r="BP4" i="3"/>
  <c r="BQ3" i="3"/>
  <c r="BQ2" i="3" l="1"/>
  <c r="BQ4" i="3"/>
  <c r="BR3" i="3"/>
  <c r="BR2" i="3" l="1"/>
  <c r="BS3" i="3"/>
  <c r="BR4" i="3"/>
  <c r="BS2" i="3" l="1"/>
  <c r="BS4" i="3"/>
  <c r="BT3" i="3"/>
  <c r="BT2" i="3" l="1"/>
  <c r="BU3" i="3"/>
  <c r="BT4" i="3"/>
  <c r="BU2" i="3" l="1"/>
  <c r="BV3" i="3"/>
  <c r="BU4" i="3"/>
  <c r="BV2" i="3" l="1"/>
  <c r="BV4" i="3"/>
  <c r="BW3" i="3"/>
  <c r="BW2" i="3" l="1"/>
  <c r="BX3" i="3"/>
  <c r="BW4" i="3"/>
  <c r="BX2" i="3" l="1"/>
  <c r="BY3" i="3"/>
  <c r="BX4" i="3"/>
  <c r="BY2" i="3" l="1"/>
  <c r="BY4" i="3"/>
  <c r="BZ3" i="3"/>
  <c r="BZ2" i="3" l="1"/>
  <c r="CA3" i="3"/>
  <c r="BZ4" i="3"/>
  <c r="CA2" i="3" l="1"/>
  <c r="CA4" i="3"/>
  <c r="CB3" i="3"/>
  <c r="CB2" i="3" l="1"/>
  <c r="CB4" i="3"/>
  <c r="CC3" i="3"/>
  <c r="CC2" i="3" l="1"/>
  <c r="CC4" i="3"/>
  <c r="CD3" i="3"/>
  <c r="CD2" i="3" l="1"/>
  <c r="CE3" i="3"/>
  <c r="CD4" i="3"/>
  <c r="CE2" i="3" l="1"/>
  <c r="CE4" i="3"/>
  <c r="CF3" i="3"/>
  <c r="CF2" i="3" l="1"/>
  <c r="CG3" i="3"/>
  <c r="CF4" i="3"/>
  <c r="CG2" i="3" l="1"/>
  <c r="CG4" i="3"/>
  <c r="CH3" i="3"/>
  <c r="CH2" i="3" l="1"/>
  <c r="CI3" i="3"/>
  <c r="CH4" i="3"/>
  <c r="CI2" i="3" l="1"/>
  <c r="CI4" i="3"/>
  <c r="CJ3" i="3"/>
  <c r="CJ2" i="3" l="1"/>
  <c r="CJ4" i="3"/>
  <c r="CK3" i="3"/>
  <c r="CK2" i="3" l="1"/>
  <c r="CK4" i="3"/>
  <c r="CL3" i="3"/>
  <c r="CL2" i="3" l="1"/>
  <c r="CL4" i="3"/>
  <c r="CM3" i="3"/>
  <c r="CM2" i="3" l="1"/>
  <c r="CN3" i="3"/>
  <c r="CM4" i="3"/>
  <c r="CN2" i="3" l="1"/>
  <c r="CN4" i="3"/>
  <c r="CO3" i="3"/>
  <c r="CO2" i="3" l="1"/>
  <c r="CP3" i="3"/>
  <c r="CO4" i="3"/>
  <c r="CP2" i="3" l="1"/>
  <c r="CP4" i="3"/>
  <c r="CQ3" i="3"/>
  <c r="CQ2" i="3" l="1"/>
  <c r="CR3" i="3"/>
  <c r="CQ4" i="3"/>
  <c r="CR2" i="3" l="1"/>
  <c r="CS3" i="3"/>
  <c r="CR4" i="3"/>
  <c r="CS2" i="3" l="1"/>
  <c r="CS4" i="3"/>
  <c r="CT3" i="3"/>
  <c r="CT2" i="3" l="1"/>
  <c r="CT4" i="3"/>
  <c r="CU3" i="3"/>
  <c r="CU2" i="3" l="1"/>
  <c r="CU4" i="3"/>
  <c r="CV3" i="3"/>
  <c r="CV2" i="3" l="1"/>
  <c r="CV4" i="3"/>
  <c r="CW3" i="3"/>
  <c r="CW2" i="3" l="1"/>
  <c r="CW4" i="3"/>
  <c r="CX3" i="3"/>
  <c r="CX2" i="3" l="1"/>
  <c r="CX4" i="3"/>
  <c r="CY3" i="3"/>
  <c r="CY2" i="3" l="1"/>
  <c r="CZ3" i="3"/>
  <c r="CY4" i="3"/>
  <c r="CZ4" i="3" l="1"/>
  <c r="CZ2" i="3"/>
  <c r="DA3" i="3"/>
  <c r="DB3" i="3" l="1"/>
  <c r="DA4" i="3"/>
  <c r="DA2" i="3"/>
  <c r="DB4" i="3" l="1"/>
  <c r="DB2" i="3"/>
  <c r="DC3" i="3"/>
  <c r="DC4" i="3" l="1"/>
  <c r="DD3" i="3"/>
  <c r="DC2" i="3"/>
  <c r="DD4" i="3" l="1"/>
  <c r="DD2" i="3"/>
  <c r="DE3" i="3"/>
  <c r="DE2" i="3" l="1"/>
  <c r="DF3" i="3"/>
  <c r="DE4" i="3"/>
  <c r="DF2" i="3" l="1"/>
  <c r="DG3" i="3"/>
  <c r="DF4" i="3"/>
  <c r="DH3" i="3" l="1"/>
  <c r="DG2" i="3"/>
  <c r="DG4" i="3"/>
  <c r="DI3" i="3" l="1"/>
  <c r="DH2" i="3"/>
  <c r="DH4" i="3"/>
  <c r="DI4" i="3" l="1"/>
  <c r="DI2" i="3"/>
</calcChain>
</file>

<file path=xl/sharedStrings.xml><?xml version="1.0" encoding="utf-8"?>
<sst xmlns="http://schemas.openxmlformats.org/spreadsheetml/2006/main" count="628" uniqueCount="56">
  <si>
    <t>開始日</t>
    <rPh sb="0" eb="3">
      <t>カイシビ</t>
    </rPh>
    <phoneticPr fontId="1"/>
  </si>
  <si>
    <t>完了日</t>
    <rPh sb="0" eb="3">
      <t>カンリョウビ</t>
    </rPh>
    <phoneticPr fontId="1"/>
  </si>
  <si>
    <t>非稼働日</t>
    <rPh sb="0" eb="1">
      <t>ヒ</t>
    </rPh>
    <rPh sb="1" eb="4">
      <t>カドウビ</t>
    </rPh>
    <phoneticPr fontId="1"/>
  </si>
  <si>
    <t>担当</t>
    <rPh sb="0" eb="2">
      <t>タントウ</t>
    </rPh>
    <phoneticPr fontId="1"/>
  </si>
  <si>
    <t>予定日</t>
    <rPh sb="0" eb="3">
      <t>ヨテイビ</t>
    </rPh>
    <phoneticPr fontId="1"/>
  </si>
  <si>
    <t>実績</t>
    <rPh sb="0" eb="2">
      <t>ジッセキ</t>
    </rPh>
    <phoneticPr fontId="1"/>
  </si>
  <si>
    <t>大分類</t>
    <rPh sb="0" eb="3">
      <t>ダイブ</t>
    </rPh>
    <phoneticPr fontId="1"/>
  </si>
  <si>
    <t>中分類</t>
    <rPh sb="0" eb="3">
      <t>チュウブン</t>
    </rPh>
    <phoneticPr fontId="1"/>
  </si>
  <si>
    <t>小分類</t>
    <rPh sb="0" eb="3">
      <t>ショウブ</t>
    </rPh>
    <phoneticPr fontId="1"/>
  </si>
  <si>
    <t>予定[日]</t>
    <rPh sb="0" eb="2">
      <t>ヨテイ</t>
    </rPh>
    <rPh sb="3" eb="4">
      <t>ニチ</t>
    </rPh>
    <phoneticPr fontId="1"/>
  </si>
  <si>
    <t>実績[日]</t>
    <rPh sb="0" eb="2">
      <t>ジッセキ</t>
    </rPh>
    <rPh sb="3" eb="4">
      <t>ニチ</t>
    </rPh>
    <phoneticPr fontId="1"/>
  </si>
  <si>
    <t>遅れ[日]</t>
    <rPh sb="0" eb="1">
      <t>オク</t>
    </rPh>
    <rPh sb="3" eb="4">
      <t>ニチ</t>
    </rPh>
    <phoneticPr fontId="1"/>
  </si>
  <si>
    <t>残り[日]</t>
    <rPh sb="0" eb="1">
      <t>ノコ</t>
    </rPh>
    <rPh sb="3" eb="4">
      <t>ニチ</t>
    </rPh>
    <phoneticPr fontId="1"/>
  </si>
  <si>
    <t>状況</t>
    <rPh sb="0" eb="2">
      <t>ジョウキョウ</t>
    </rPh>
    <phoneticPr fontId="1"/>
  </si>
  <si>
    <t>工期</t>
    <rPh sb="0" eb="2">
      <t>コウキ</t>
    </rPh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</si>
  <si>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</si>
  <si>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</si>
  <si>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</si>
  <si>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</si>
  <si>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</si>
  <si>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</si>
  <si>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</si>
  <si>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</si>
  <si>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振替休日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</si>
  <si>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</si>
  <si>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</si>
  <si>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</si>
  <si>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</si>
  <si>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</si>
  <si>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</si>
  <si>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</si>
  <si>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</si>
  <si>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国民の休日</t>
  </si>
  <si>
    <t>未着手</t>
  </si>
  <si>
    <t>休み</t>
    <rPh sb="0" eb="1">
      <t>ヤス</t>
    </rPh>
    <phoneticPr fontId="1"/>
  </si>
  <si>
    <t>氏名</t>
    <rPh sb="0" eb="2">
      <t>シメイ</t>
    </rPh>
    <phoneticPr fontId="1"/>
  </si>
  <si>
    <t>色</t>
    <rPh sb="0" eb="1">
      <t>イロ</t>
    </rPh>
    <phoneticPr fontId="1"/>
  </si>
  <si>
    <t>未着手</t>
    <phoneticPr fontId="1"/>
  </si>
  <si>
    <t>完了</t>
  </si>
  <si>
    <t>タスク</t>
  </si>
  <si>
    <t>【案件1】</t>
  </si>
  <si>
    <t>機能1</t>
  </si>
  <si>
    <t>設計</t>
    <phoneticPr fontId="1"/>
  </si>
  <si>
    <t>A</t>
  </si>
  <si>
    <t>製造</t>
    <phoneticPr fontId="1"/>
  </si>
  <si>
    <t>B</t>
  </si>
  <si>
    <t>機能2</t>
  </si>
  <si>
    <t>進行中</t>
  </si>
  <si>
    <t>【案件2】</t>
  </si>
  <si>
    <t>機能3</t>
  </si>
  <si>
    <t>機能4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</si>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</sst>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aaa"/>
    <numFmt numFmtId="177" formatCode="dd"/>
    <numFmt numFmtId="178" formatCode="mm"/>
    <numFmt numFmtId="179" formatCode="mm/dd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8"/>
      <color rgb="FF333333"/>
      <name val="メイリオ"/>
      <family val="3"/>
      <charset val="128"/>
    </font>
    <font>
      <b/>
      <sz val="11"/>
      <color rgb="FF33CC33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1F59B"/>
        <bgColor indexed="64"/>
      </patternFill>
    </fill>
    <fill>
      <patternFill patternType="solid">
        <fgColor rgb="FF41D7F5"/>
        <bgColor indexed="64"/>
      </patternFill>
    </fill>
    <fill>
      <patternFill patternType="solid">
        <fgColor rgb="FF649BF5"/>
        <bgColor indexed="64"/>
      </patternFill>
    </fill>
    <fill>
      <patternFill patternType="solid">
        <fgColor rgb="FFC89BF5"/>
        <bgColor indexed="64"/>
      </patternFill>
    </fill>
    <fill>
      <patternFill patternType="solid">
        <fgColor rgb="FFF596F5"/>
        <bgColor indexed="64"/>
      </patternFill>
    </fill>
  </fills>
  <borders count="23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/>
      <diagonal/>
    </border>
    <border>
      <left style="medium">
        <color theme="2" tint="-0.24994659260841701"/>
      </left>
      <right/>
      <top style="medium">
        <color theme="2" tint="-0.24994659260841701"/>
      </top>
      <bottom/>
      <diagonal/>
    </border>
    <border>
      <left/>
      <right/>
      <top style="medium">
        <color theme="2" tint="-0.24994659260841701"/>
      </top>
      <bottom/>
      <diagonal/>
    </border>
    <border>
      <left/>
      <right style="medium">
        <color theme="2" tint="-0.24994659260841701"/>
      </right>
      <top style="medium">
        <color theme="2" tint="-0.24994659260841701"/>
      </top>
      <bottom/>
      <diagonal/>
    </border>
    <border>
      <left/>
      <right style="medium">
        <color theme="2" tint="-0.24994659260841701"/>
      </right>
      <top/>
      <bottom/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theme="2" tint="-0.24994659260841701"/>
      </left>
      <right style="dashDotDot">
        <color theme="2" tint="-0.24994659260841701"/>
      </right>
      <top/>
      <bottom/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medium">
        <color theme="0" tint="-0.34998626667073579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2" xfId="0" applyNumberFormat="1" applyBorder="1">
      <alignment vertical="center"/>
    </xf>
    <xf numFmtId="0" fontId="0" fillId="2" borderId="1" xfId="0" applyFill="1" applyBorder="1">
      <alignment vertical="center"/>
    </xf>
    <xf numFmtId="14" fontId="0" fillId="0" borderId="1" xfId="0" applyNumberFormat="1" applyFill="1" applyBorder="1">
      <alignment vertical="center"/>
    </xf>
    <xf numFmtId="14" fontId="0" fillId="0" borderId="1" xfId="0" applyNumberFormat="1" applyBorder="1">
      <alignment vertical="center"/>
    </xf>
    <xf numFmtId="0" fontId="2" fillId="3" borderId="2" xfId="0" applyFont="1" applyFill="1" applyBorder="1" applyAlignment="1">
      <alignment horizontal="center" vertical="center" wrapText="1"/>
    </xf>
    <xf numFmtId="49" fontId="0" fillId="3" borderId="3" xfId="0" applyNumberFormat="1" applyFill="1" applyBorder="1">
      <alignment vertical="center"/>
    </xf>
    <xf numFmtId="49" fontId="0" fillId="3" borderId="7" xfId="0" applyNumberFormat="1" applyFill="1" applyBorder="1">
      <alignment vertical="center"/>
    </xf>
    <xf numFmtId="49" fontId="0" fillId="3" borderId="8" xfId="0" applyNumberFormat="1" applyFill="1" applyBorder="1">
      <alignment vertical="center"/>
    </xf>
    <xf numFmtId="49" fontId="0" fillId="3" borderId="2" xfId="0" applyNumberFormat="1" applyFill="1" applyBorder="1">
      <alignment vertical="center"/>
    </xf>
    <xf numFmtId="177" fontId="0" fillId="0" borderId="5" xfId="0" applyNumberFormat="1" applyBorder="1">
      <alignment vertical="center"/>
    </xf>
    <xf numFmtId="177" fontId="0" fillId="0" borderId="6" xfId="0" applyNumberFormat="1" applyBorder="1">
      <alignment vertical="center"/>
    </xf>
    <xf numFmtId="177" fontId="0" fillId="0" borderId="4" xfId="0" applyNumberFormat="1" applyFont="1" applyBorder="1">
      <alignment vertical="center"/>
    </xf>
    <xf numFmtId="178" fontId="0" fillId="3" borderId="9" xfId="0" applyNumberFormat="1" applyFill="1" applyBorder="1" applyAlignment="1">
      <alignment horizontal="left" vertical="justify"/>
    </xf>
    <xf numFmtId="178" fontId="0" fillId="3" borderId="10" xfId="0" applyNumberFormat="1" applyFill="1" applyBorder="1" applyAlignment="1">
      <alignment horizontal="left" vertical="justify"/>
    </xf>
    <xf numFmtId="178" fontId="0" fillId="3" borderId="11" xfId="0" applyNumberFormat="1" applyFill="1" applyBorder="1" applyAlignment="1">
      <alignment horizontal="left" vertical="justify"/>
    </xf>
    <xf numFmtId="0" fontId="2" fillId="3" borderId="1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176" fontId="0" fillId="0" borderId="11" xfId="0" applyNumberFormat="1" applyBorder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3" fillId="0" borderId="15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0" fontId="3" fillId="0" borderId="17" xfId="0" applyNumberFormat="1" applyFont="1" applyBorder="1" applyAlignment="1">
      <alignment horizontal="center" vertical="center"/>
    </xf>
    <xf numFmtId="0" fontId="3" fillId="0" borderId="18" xfId="0" applyNumberFormat="1" applyFont="1" applyBorder="1" applyAlignment="1">
      <alignment horizontal="center" vertical="center"/>
    </xf>
    <xf numFmtId="49" fontId="0" fillId="3" borderId="19" xfId="0" applyNumberFormat="1" applyFill="1" applyBorder="1">
      <alignment vertical="center"/>
    </xf>
    <xf numFmtId="49" fontId="0" fillId="4" borderId="19" xfId="0" applyNumberFormat="1" applyFill="1" applyBorder="1">
      <alignment vertical="center"/>
    </xf>
    <xf numFmtId="49" fontId="0" fillId="5" borderId="19" xfId="0" applyNumberFormat="1" applyFill="1" applyBorder="1">
      <alignment vertical="center"/>
    </xf>
    <xf numFmtId="49" fontId="0" fillId="6" borderId="19" xfId="0" applyNumberFormat="1" applyFill="1" applyBorder="1">
      <alignment vertical="center"/>
    </xf>
    <xf numFmtId="49" fontId="0" fillId="7" borderId="19" xfId="0" applyNumberFormat="1" applyFill="1" applyBorder="1">
      <alignment vertical="center"/>
    </xf>
    <xf numFmtId="49" fontId="0" fillId="8" borderId="19" xfId="0" applyNumberFormat="1" applyFill="1" applyBorder="1">
      <alignment vertical="center"/>
    </xf>
    <xf numFmtId="49" fontId="0" fillId="9" borderId="19" xfId="0" applyNumberFormat="1" applyFill="1" applyBorder="1">
      <alignment vertical="center"/>
    </xf>
    <xf numFmtId="49" fontId="0" fillId="0" borderId="0" xfId="0" applyNumberFormat="1" applyAlignment="1">
      <alignment vertical="center"/>
    </xf>
    <xf numFmtId="49" fontId="0" fillId="0" borderId="20" xfId="0" applyNumberFormat="1" applyBorder="1" applyAlignment="1">
      <alignment vertical="center"/>
    </xf>
    <xf numFmtId="0" fontId="0" fillId="0" borderId="8" xfId="0" applyNumberFormat="1" applyBorder="1">
      <alignment vertical="center"/>
    </xf>
    <xf numFmtId="49" fontId="0" fillId="0" borderId="21" xfId="0" applyNumberFormat="1" applyBorder="1" applyAlignment="1">
      <alignment vertical="center"/>
    </xf>
    <xf numFmtId="49" fontId="0" fillId="0" borderId="21" xfId="0" applyNumberFormat="1" applyBorder="1" applyAlignment="1">
      <alignment vertical="center" shrinkToFit="1"/>
    </xf>
    <xf numFmtId="0" fontId="0" fillId="0" borderId="21" xfId="0" applyNumberFormat="1" applyBorder="1" applyAlignment="1">
      <alignment vertical="center" shrinkToFit="1"/>
    </xf>
    <xf numFmtId="179" fontId="0" fillId="0" borderId="21" xfId="0" applyNumberFormat="1" applyBorder="1">
      <alignment vertical="center"/>
    </xf>
    <xf numFmtId="14" fontId="0" fillId="0" borderId="21" xfId="0" applyNumberFormat="1" applyBorder="1" applyAlignment="1">
      <alignment vertical="center" shrinkToFit="1"/>
    </xf>
    <xf numFmtId="49" fontId="0" fillId="0" borderId="22" xfId="0" applyNumberFormat="1" applyBorder="1" applyAlignment="1">
      <alignment vertical="center"/>
    </xf>
    <xf numFmtId="49" fontId="0" fillId="0" borderId="22" xfId="0" applyNumberFormat="1" applyBorder="1" applyAlignment="1">
      <alignment vertical="center" shrinkToFit="1"/>
    </xf>
    <xf numFmtId="0" fontId="0" fillId="0" borderId="22" xfId="0" applyNumberFormat="1" applyBorder="1" applyAlignment="1">
      <alignment vertical="center" shrinkToFit="1"/>
    </xf>
    <xf numFmtId="179" fontId="0" fillId="0" borderId="22" xfId="0" applyNumberFormat="1" applyBorder="1">
      <alignment vertical="center"/>
    </xf>
    <xf numFmtId="49" fontId="5" fillId="0" borderId="21" xfId="0" applyNumberFormat="1" applyFont="1" applyBorder="1" applyAlignment="1">
      <alignment vertical="center"/>
    </xf>
    <xf numFmtId="49" fontId="5" fillId="0" borderId="22" xfId="0" applyNumberFormat="1" applyFont="1" applyBorder="1" applyAlignment="1">
      <alignment vertical="center"/>
    </xf>
    <xf numFmtId="49" fontId="5" fillId="0" borderId="0" xfId="0" applyNumberFormat="1" applyFont="1">
      <alignment vertical="center"/>
    </xf>
    <xf numFmtId="49" fontId="5" fillId="0" borderId="0" xfId="0" applyNumberFormat="1" applyFont="1" applyAlignment="1">
      <alignment vertical="center"/>
    </xf>
  </cellXfs>
  <cellStyles count="1">
    <cellStyle name="標準" xfId="0" builtinId="0"/>
  </cellStyles>
  <dxfs count="10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CC33"/>
      <color rgb="FFB2B2B2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0</xdr:row>
          <xdr:rowOff>107950</xdr:rowOff>
        </xdr:from>
        <xdr:to>
          <xdr:col>2</xdr:col>
          <xdr:colOff>666750</xdr:colOff>
          <xdr:row>1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825500</xdr:colOff>
          <xdr:row>0</xdr:row>
          <xdr:rowOff>120650</xdr:rowOff>
        </xdr:from>
        <xdr:to>
          <xdr:col>2</xdr:col>
          <xdr:colOff>1619250</xdr:colOff>
          <xdr:row>1</xdr:row>
          <xdr:rowOff>203200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線表更新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6</xdr:row>
      <xdr:rowOff>23495</xdr:rowOff>
    </xdr:from>
    <xdr:to>
      <xdr:col>21</xdr:col>
      <xdr:colOff>0</xdr:colOff>
      <xdr:row>6</xdr:row>
      <xdr:rowOff>117475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9355DCAB-FC9B-4FBB-8928-73A632BA79F9}"/>
            </a:ext>
          </a:extLst>
        </xdr:cNvPr>
        <xdr:cNvSpPr/>
      </xdr:nvSpPr>
      <xdr:spPr>
        <a:xfrm>
          <a:off x="5822950" y="1318895"/>
          <a:ext cx="1727200" cy="93980"/>
        </a:xfrm>
        <a:prstGeom prst="rightArrow">
          <a:avLst>
            <a:gd name="adj1" fmla="val 100000"/>
            <a:gd name="adj2" fmla="val 50000"/>
          </a:avLst>
        </a:prstGeom>
        <a:solidFill>
          <a:srgbClr val="41F5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ysClr val="windowText" lastClr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A</a:t>
          </a:r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common/task/migration_cloud/AS&#12463;&#12521;&#12454;&#12489;&#31227;&#34892;_&#32218;&#34920;_201904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祝日"/>
      <sheetName val="大線表"/>
      <sheetName val="小線表"/>
      <sheetName val="メンバ"/>
      <sheetName val="タスク一覧"/>
      <sheetName val="開発体制図"/>
      <sheetName val="費用見直し"/>
      <sheetName val="年間の費用_ver4"/>
      <sheetName val="年間の費用_ver3"/>
      <sheetName val="年間の費用_ver2"/>
      <sheetName val="クラウド費用削減"/>
      <sheetName val="(参考資料)ECL2.0見積もり"/>
      <sheetName val="年間の費用"/>
      <sheetName val="年間の費用_ver1"/>
    </sheetNames>
    <sheetDataSet>
      <sheetData sheetId="0">
        <row r="1">
          <cell r="A1">
            <v>42370</v>
          </cell>
        </row>
        <row r="2">
          <cell r="A2">
            <v>42380</v>
          </cell>
        </row>
        <row r="3">
          <cell r="A3">
            <v>42411</v>
          </cell>
        </row>
        <row r="4">
          <cell r="A4">
            <v>42449</v>
          </cell>
        </row>
        <row r="5">
          <cell r="A5">
            <v>42450</v>
          </cell>
        </row>
        <row r="6">
          <cell r="A6">
            <v>42489</v>
          </cell>
        </row>
        <row r="7">
          <cell r="A7">
            <v>42493</v>
          </cell>
        </row>
        <row r="8">
          <cell r="A8">
            <v>42494</v>
          </cell>
        </row>
        <row r="9">
          <cell r="A9">
            <v>42495</v>
          </cell>
        </row>
        <row r="10">
          <cell r="A10">
            <v>42569</v>
          </cell>
        </row>
        <row r="11">
          <cell r="A11">
            <v>42593</v>
          </cell>
        </row>
        <row r="12">
          <cell r="A12">
            <v>42632</v>
          </cell>
        </row>
        <row r="13">
          <cell r="A13">
            <v>42635</v>
          </cell>
        </row>
        <row r="14">
          <cell r="A14">
            <v>42653</v>
          </cell>
        </row>
        <row r="15">
          <cell r="A15">
            <v>42677</v>
          </cell>
        </row>
        <row r="16">
          <cell r="A16">
            <v>42697</v>
          </cell>
        </row>
        <row r="17">
          <cell r="A17">
            <v>42727</v>
          </cell>
        </row>
        <row r="18">
          <cell r="A18">
            <v>42736</v>
          </cell>
        </row>
        <row r="19">
          <cell r="A19">
            <v>42737</v>
          </cell>
        </row>
        <row r="20">
          <cell r="A20">
            <v>42744</v>
          </cell>
        </row>
        <row r="21">
          <cell r="A21">
            <v>42777</v>
          </cell>
        </row>
        <row r="22">
          <cell r="A22">
            <v>42814</v>
          </cell>
        </row>
        <row r="23">
          <cell r="A23">
            <v>42854</v>
          </cell>
        </row>
        <row r="24">
          <cell r="A24">
            <v>42858</v>
          </cell>
        </row>
        <row r="25">
          <cell r="A25">
            <v>42859</v>
          </cell>
        </row>
        <row r="26">
          <cell r="A26">
            <v>42860</v>
          </cell>
        </row>
        <row r="27">
          <cell r="A27">
            <v>42933</v>
          </cell>
        </row>
        <row r="28">
          <cell r="A28">
            <v>42958</v>
          </cell>
        </row>
        <row r="29">
          <cell r="A29">
            <v>42996</v>
          </cell>
        </row>
        <row r="30">
          <cell r="A30">
            <v>43001</v>
          </cell>
        </row>
        <row r="31">
          <cell r="A31">
            <v>43017</v>
          </cell>
        </row>
        <row r="32">
          <cell r="A32">
            <v>43042</v>
          </cell>
        </row>
        <row r="33">
          <cell r="A33">
            <v>43062</v>
          </cell>
        </row>
        <row r="34">
          <cell r="A34">
            <v>43092</v>
          </cell>
        </row>
        <row r="35">
          <cell r="A35">
            <v>43101</v>
          </cell>
        </row>
        <row r="36">
          <cell r="A36">
            <v>43108</v>
          </cell>
        </row>
        <row r="37">
          <cell r="A37">
            <v>43142</v>
          </cell>
        </row>
        <row r="38">
          <cell r="A38">
            <v>43143</v>
          </cell>
        </row>
        <row r="39">
          <cell r="A39">
            <v>43180</v>
          </cell>
        </row>
        <row r="40">
          <cell r="A40">
            <v>43219</v>
          </cell>
        </row>
        <row r="41">
          <cell r="A41">
            <v>43220</v>
          </cell>
        </row>
        <row r="42">
          <cell r="A42">
            <v>43223</v>
          </cell>
        </row>
        <row r="43">
          <cell r="A43">
            <v>43224</v>
          </cell>
        </row>
        <row r="44">
          <cell r="A44">
            <v>43225</v>
          </cell>
        </row>
        <row r="45">
          <cell r="A45">
            <v>43297</v>
          </cell>
        </row>
        <row r="46">
          <cell r="A46">
            <v>43323</v>
          </cell>
        </row>
        <row r="47">
          <cell r="A47">
            <v>43360</v>
          </cell>
        </row>
        <row r="48">
          <cell r="A48">
            <v>43366</v>
          </cell>
        </row>
        <row r="49">
          <cell r="A49">
            <v>43367</v>
          </cell>
        </row>
        <row r="50">
          <cell r="A50">
            <v>43381</v>
          </cell>
        </row>
        <row r="51">
          <cell r="A51">
            <v>43407</v>
          </cell>
        </row>
        <row r="52">
          <cell r="A52">
            <v>43427</v>
          </cell>
        </row>
        <row r="53">
          <cell r="A53">
            <v>43457</v>
          </cell>
        </row>
        <row r="54">
          <cell r="A54">
            <v>43458</v>
          </cell>
        </row>
        <row r="55">
          <cell r="A55">
            <v>43466</v>
          </cell>
        </row>
        <row r="56">
          <cell r="A56">
            <v>43479</v>
          </cell>
        </row>
        <row r="57">
          <cell r="A57">
            <v>43507</v>
          </cell>
        </row>
        <row r="58">
          <cell r="A58">
            <v>43545</v>
          </cell>
        </row>
        <row r="59">
          <cell r="A59">
            <v>43584</v>
          </cell>
        </row>
        <row r="60">
          <cell r="A60">
            <v>43585</v>
          </cell>
        </row>
        <row r="61">
          <cell r="A61">
            <v>43586</v>
          </cell>
        </row>
        <row r="62">
          <cell r="A62">
            <v>43587</v>
          </cell>
        </row>
        <row r="63">
          <cell r="A63">
            <v>43588</v>
          </cell>
        </row>
        <row r="64">
          <cell r="A64">
            <v>43589</v>
          </cell>
        </row>
        <row r="65">
          <cell r="A65">
            <v>43590</v>
          </cell>
        </row>
        <row r="66">
          <cell r="A66">
            <v>43591</v>
          </cell>
        </row>
        <row r="67">
          <cell r="A67">
            <v>43661</v>
          </cell>
        </row>
        <row r="68">
          <cell r="A68">
            <v>43688</v>
          </cell>
        </row>
        <row r="69">
          <cell r="A69">
            <v>43689</v>
          </cell>
        </row>
        <row r="70">
          <cell r="A70">
            <v>43724</v>
          </cell>
        </row>
        <row r="71">
          <cell r="A71">
            <v>43731</v>
          </cell>
        </row>
        <row r="72">
          <cell r="A72">
            <v>43752</v>
          </cell>
        </row>
        <row r="73">
          <cell r="A73">
            <v>43772</v>
          </cell>
        </row>
        <row r="74">
          <cell r="A74">
            <v>43773</v>
          </cell>
        </row>
        <row r="75">
          <cell r="A75">
            <v>43792</v>
          </cell>
        </row>
        <row r="76">
          <cell r="A76">
            <v>43822</v>
          </cell>
        </row>
        <row r="77">
          <cell r="A77">
            <v>43831</v>
          </cell>
        </row>
        <row r="78">
          <cell r="A78">
            <v>43843</v>
          </cell>
        </row>
        <row r="79">
          <cell r="A79">
            <v>43872</v>
          </cell>
        </row>
        <row r="80">
          <cell r="A80">
            <v>43910</v>
          </cell>
        </row>
        <row r="81">
          <cell r="A81">
            <v>43950</v>
          </cell>
        </row>
        <row r="82">
          <cell r="A82">
            <v>43954</v>
          </cell>
        </row>
        <row r="83">
          <cell r="A83">
            <v>43955</v>
          </cell>
        </row>
        <row r="84">
          <cell r="A84">
            <v>43956</v>
          </cell>
        </row>
        <row r="85">
          <cell r="A85">
            <v>43957</v>
          </cell>
        </row>
        <row r="86">
          <cell r="A86">
            <v>44032</v>
          </cell>
        </row>
        <row r="87">
          <cell r="A87">
            <v>44054</v>
          </cell>
        </row>
        <row r="88">
          <cell r="A88">
            <v>44095</v>
          </cell>
        </row>
        <row r="89">
          <cell r="A89">
            <v>44096</v>
          </cell>
        </row>
        <row r="90">
          <cell r="A90">
            <v>44116</v>
          </cell>
        </row>
        <row r="91">
          <cell r="A91">
            <v>44138</v>
          </cell>
        </row>
        <row r="92">
          <cell r="A92">
            <v>44158</v>
          </cell>
        </row>
        <row r="93">
          <cell r="A93">
            <v>44188</v>
          </cell>
        </row>
        <row r="94">
          <cell r="A94">
            <v>44197</v>
          </cell>
        </row>
        <row r="95">
          <cell r="A95">
            <v>44207</v>
          </cell>
        </row>
        <row r="96">
          <cell r="A96">
            <v>44238</v>
          </cell>
        </row>
        <row r="97">
          <cell r="A97">
            <v>44275</v>
          </cell>
        </row>
        <row r="98">
          <cell r="A98">
            <v>44315</v>
          </cell>
        </row>
        <row r="99">
          <cell r="A99">
            <v>44319</v>
          </cell>
        </row>
        <row r="100">
          <cell r="A100">
            <v>44320</v>
          </cell>
        </row>
        <row r="101">
          <cell r="A101">
            <v>44321</v>
          </cell>
        </row>
        <row r="102">
          <cell r="A102">
            <v>44396</v>
          </cell>
        </row>
        <row r="103">
          <cell r="A103">
            <v>44419</v>
          </cell>
        </row>
        <row r="104">
          <cell r="A104">
            <v>44459</v>
          </cell>
        </row>
        <row r="105">
          <cell r="A105">
            <v>44462</v>
          </cell>
        </row>
        <row r="106">
          <cell r="A106">
            <v>44480</v>
          </cell>
        </row>
        <row r="107">
          <cell r="A107">
            <v>44503</v>
          </cell>
        </row>
        <row r="108">
          <cell r="A108">
            <v>44523</v>
          </cell>
        </row>
        <row r="109">
          <cell r="A109">
            <v>44553</v>
          </cell>
        </row>
        <row r="110">
          <cell r="A110">
            <v>44562</v>
          </cell>
        </row>
        <row r="111">
          <cell r="A111">
            <v>44571</v>
          </cell>
        </row>
        <row r="112">
          <cell r="A112">
            <v>44603</v>
          </cell>
        </row>
        <row r="113">
          <cell r="A113">
            <v>44641</v>
          </cell>
        </row>
        <row r="114">
          <cell r="A114">
            <v>44680</v>
          </cell>
        </row>
        <row r="115">
          <cell r="A115">
            <v>44684</v>
          </cell>
        </row>
        <row r="116">
          <cell r="A116">
            <v>44685</v>
          </cell>
        </row>
        <row r="117">
          <cell r="A117">
            <v>44686</v>
          </cell>
        </row>
        <row r="118">
          <cell r="A118">
            <v>44760</v>
          </cell>
        </row>
        <row r="119">
          <cell r="A119">
            <v>44784</v>
          </cell>
        </row>
        <row r="120">
          <cell r="A120">
            <v>44823</v>
          </cell>
        </row>
        <row r="121">
          <cell r="A121">
            <v>44827</v>
          </cell>
        </row>
        <row r="122">
          <cell r="A122">
            <v>44844</v>
          </cell>
        </row>
        <row r="123">
          <cell r="A123">
            <v>44868</v>
          </cell>
        </row>
        <row r="124">
          <cell r="A124">
            <v>44888</v>
          </cell>
        </row>
        <row r="125">
          <cell r="A125">
            <v>44918</v>
          </cell>
        </row>
        <row r="126">
          <cell r="A126">
            <v>44927</v>
          </cell>
        </row>
        <row r="127">
          <cell r="A127">
            <v>44928</v>
          </cell>
        </row>
        <row r="128">
          <cell r="A128">
            <v>44935</v>
          </cell>
        </row>
        <row r="129">
          <cell r="A129">
            <v>44968</v>
          </cell>
        </row>
        <row r="130">
          <cell r="A130">
            <v>45006</v>
          </cell>
        </row>
        <row r="131">
          <cell r="A131">
            <v>45045</v>
          </cell>
        </row>
        <row r="132">
          <cell r="A132">
            <v>45049</v>
          </cell>
        </row>
        <row r="133">
          <cell r="A133">
            <v>45050</v>
          </cell>
        </row>
        <row r="134">
          <cell r="A134">
            <v>45051</v>
          </cell>
        </row>
        <row r="135">
          <cell r="A135">
            <v>45124</v>
          </cell>
        </row>
        <row r="136">
          <cell r="A136">
            <v>45149</v>
          </cell>
        </row>
        <row r="137">
          <cell r="A137">
            <v>45187</v>
          </cell>
        </row>
        <row r="138">
          <cell r="A138">
            <v>45192</v>
          </cell>
        </row>
        <row r="139">
          <cell r="A139">
            <v>45208</v>
          </cell>
        </row>
        <row r="140">
          <cell r="A140">
            <v>45233</v>
          </cell>
        </row>
        <row r="141">
          <cell r="A141">
            <v>45253</v>
          </cell>
        </row>
        <row r="142">
          <cell r="A142">
            <v>45283</v>
          </cell>
        </row>
        <row r="143">
          <cell r="A143">
            <v>45292</v>
          </cell>
        </row>
        <row r="144">
          <cell r="A144">
            <v>45299</v>
          </cell>
        </row>
        <row r="145">
          <cell r="A145">
            <v>45333</v>
          </cell>
        </row>
        <row r="146">
          <cell r="A146">
            <v>45334</v>
          </cell>
        </row>
        <row r="147">
          <cell r="A147">
            <v>45371</v>
          </cell>
        </row>
        <row r="148">
          <cell r="A148">
            <v>45411</v>
          </cell>
        </row>
        <row r="149">
          <cell r="A149">
            <v>45415</v>
          </cell>
        </row>
        <row r="150">
          <cell r="A150">
            <v>45416</v>
          </cell>
        </row>
        <row r="151">
          <cell r="A151">
            <v>45417</v>
          </cell>
        </row>
        <row r="152">
          <cell r="A152">
            <v>45418</v>
          </cell>
        </row>
        <row r="153">
          <cell r="A153">
            <v>45488</v>
          </cell>
        </row>
        <row r="154">
          <cell r="A154">
            <v>45515</v>
          </cell>
        </row>
        <row r="155">
          <cell r="A155">
            <v>45516</v>
          </cell>
        </row>
        <row r="156">
          <cell r="A156">
            <v>45551</v>
          </cell>
        </row>
        <row r="157">
          <cell r="A157">
            <v>45557</v>
          </cell>
        </row>
        <row r="158">
          <cell r="A158">
            <v>45558</v>
          </cell>
        </row>
        <row r="159">
          <cell r="A159">
            <v>45579</v>
          </cell>
        </row>
        <row r="160">
          <cell r="A160">
            <v>45599</v>
          </cell>
        </row>
        <row r="161">
          <cell r="A161">
            <v>45600</v>
          </cell>
        </row>
        <row r="162">
          <cell r="A162">
            <v>45619</v>
          </cell>
        </row>
        <row r="163">
          <cell r="A163">
            <v>45649</v>
          </cell>
        </row>
        <row r="164">
          <cell r="A164">
            <v>45658</v>
          </cell>
        </row>
        <row r="165">
          <cell r="A165">
            <v>45670</v>
          </cell>
        </row>
        <row r="166">
          <cell r="A166">
            <v>45699</v>
          </cell>
        </row>
        <row r="167">
          <cell r="A167">
            <v>45736</v>
          </cell>
        </row>
        <row r="168">
          <cell r="A168">
            <v>45776</v>
          </cell>
        </row>
        <row r="169">
          <cell r="A169">
            <v>45780</v>
          </cell>
        </row>
        <row r="170">
          <cell r="A170">
            <v>45781</v>
          </cell>
        </row>
        <row r="171">
          <cell r="A171">
            <v>45782</v>
          </cell>
        </row>
        <row r="172">
          <cell r="A172">
            <v>45783</v>
          </cell>
        </row>
        <row r="173">
          <cell r="A173">
            <v>45859</v>
          </cell>
        </row>
        <row r="174">
          <cell r="A174">
            <v>45880</v>
          </cell>
        </row>
        <row r="175">
          <cell r="A175">
            <v>45915</v>
          </cell>
        </row>
        <row r="176">
          <cell r="A176">
            <v>45923</v>
          </cell>
        </row>
        <row r="177">
          <cell r="A177">
            <v>45943</v>
          </cell>
        </row>
        <row r="178">
          <cell r="A178">
            <v>45964</v>
          </cell>
        </row>
        <row r="179">
          <cell r="A179">
            <v>45984</v>
          </cell>
        </row>
        <row r="180">
          <cell r="A180">
            <v>45985</v>
          </cell>
        </row>
        <row r="181">
          <cell r="A181">
            <v>46014</v>
          </cell>
        </row>
        <row r="182">
          <cell r="A182">
            <v>46023</v>
          </cell>
        </row>
        <row r="183">
          <cell r="A183">
            <v>46034</v>
          </cell>
        </row>
        <row r="184">
          <cell r="A184">
            <v>46064</v>
          </cell>
        </row>
        <row r="185">
          <cell r="A185">
            <v>46101</v>
          </cell>
        </row>
        <row r="186">
          <cell r="A186">
            <v>46141</v>
          </cell>
        </row>
        <row r="187">
          <cell r="A187">
            <v>46145</v>
          </cell>
        </row>
        <row r="188">
          <cell r="A188">
            <v>46146</v>
          </cell>
        </row>
        <row r="189">
          <cell r="A189">
            <v>46147</v>
          </cell>
        </row>
        <row r="190">
          <cell r="A190">
            <v>46148</v>
          </cell>
        </row>
        <row r="191">
          <cell r="A191">
            <v>46223</v>
          </cell>
        </row>
        <row r="192">
          <cell r="A192">
            <v>46245</v>
          </cell>
        </row>
        <row r="193">
          <cell r="A193">
            <v>46286</v>
          </cell>
        </row>
        <row r="194">
          <cell r="A194">
            <v>46287</v>
          </cell>
        </row>
        <row r="195">
          <cell r="A195">
            <v>46288</v>
          </cell>
        </row>
        <row r="196">
          <cell r="A196">
            <v>46307</v>
          </cell>
        </row>
        <row r="197">
          <cell r="A197">
            <v>46329</v>
          </cell>
        </row>
        <row r="198">
          <cell r="A198">
            <v>46349</v>
          </cell>
        </row>
        <row r="199">
          <cell r="A199">
            <v>46379</v>
          </cell>
        </row>
        <row r="200">
          <cell r="A200">
            <v>46388</v>
          </cell>
        </row>
        <row r="201">
          <cell r="A201">
            <v>46398</v>
          </cell>
        </row>
        <row r="202">
          <cell r="A202">
            <v>46429</v>
          </cell>
        </row>
        <row r="203">
          <cell r="A203">
            <v>46467</v>
          </cell>
        </row>
        <row r="204">
          <cell r="A204">
            <v>46468</v>
          </cell>
        </row>
        <row r="205">
          <cell r="A205">
            <v>46506</v>
          </cell>
        </row>
        <row r="206">
          <cell r="A206">
            <v>46510</v>
          </cell>
        </row>
        <row r="207">
          <cell r="A207">
            <v>46511</v>
          </cell>
        </row>
        <row r="208">
          <cell r="A208">
            <v>46512</v>
          </cell>
        </row>
        <row r="209">
          <cell r="A209">
            <v>46587</v>
          </cell>
        </row>
        <row r="210">
          <cell r="A210">
            <v>46610</v>
          </cell>
        </row>
        <row r="211">
          <cell r="A211">
            <v>46650</v>
          </cell>
        </row>
        <row r="212">
          <cell r="A212">
            <v>46653</v>
          </cell>
        </row>
        <row r="213">
          <cell r="A213">
            <v>46671</v>
          </cell>
        </row>
        <row r="214">
          <cell r="A214">
            <v>46694</v>
          </cell>
        </row>
        <row r="215">
          <cell r="A215">
            <v>46714</v>
          </cell>
        </row>
        <row r="216">
          <cell r="A216">
            <v>46744</v>
          </cell>
        </row>
        <row r="217">
          <cell r="A217">
            <v>46753</v>
          </cell>
        </row>
        <row r="218">
          <cell r="A218">
            <v>46762</v>
          </cell>
        </row>
        <row r="219">
          <cell r="A219">
            <v>46794</v>
          </cell>
        </row>
        <row r="220">
          <cell r="A220">
            <v>46832</v>
          </cell>
        </row>
        <row r="221">
          <cell r="A221">
            <v>46872</v>
          </cell>
        </row>
        <row r="222">
          <cell r="A222">
            <v>46876</v>
          </cell>
        </row>
        <row r="223">
          <cell r="A223">
            <v>46877</v>
          </cell>
        </row>
        <row r="224">
          <cell r="A224">
            <v>46878</v>
          </cell>
        </row>
        <row r="225">
          <cell r="A225">
            <v>46951</v>
          </cell>
        </row>
        <row r="226">
          <cell r="A226">
            <v>46976</v>
          </cell>
        </row>
        <row r="227">
          <cell r="A227">
            <v>47014</v>
          </cell>
        </row>
        <row r="228">
          <cell r="A228">
            <v>47018</v>
          </cell>
        </row>
        <row r="229">
          <cell r="A229">
            <v>47035</v>
          </cell>
        </row>
        <row r="230">
          <cell r="A230">
            <v>47060</v>
          </cell>
        </row>
        <row r="231">
          <cell r="A231">
            <v>47080</v>
          </cell>
        </row>
        <row r="232">
          <cell r="A232">
            <v>47110</v>
          </cell>
        </row>
        <row r="233">
          <cell r="A233">
            <v>47119</v>
          </cell>
        </row>
        <row r="234">
          <cell r="A234">
            <v>47126</v>
          </cell>
        </row>
        <row r="235">
          <cell r="A235">
            <v>47160</v>
          </cell>
        </row>
        <row r="236">
          <cell r="A236">
            <v>47161</v>
          </cell>
        </row>
        <row r="237">
          <cell r="A237">
            <v>47197</v>
          </cell>
        </row>
        <row r="238">
          <cell r="A238">
            <v>47237</v>
          </cell>
        </row>
        <row r="239">
          <cell r="A239">
            <v>47238</v>
          </cell>
        </row>
        <row r="240">
          <cell r="A240">
            <v>47241</v>
          </cell>
        </row>
        <row r="241">
          <cell r="A241">
            <v>47242</v>
          </cell>
        </row>
        <row r="242">
          <cell r="A242">
            <v>47243</v>
          </cell>
        </row>
        <row r="243">
          <cell r="A243">
            <v>47315</v>
          </cell>
        </row>
        <row r="244">
          <cell r="A244">
            <v>47341</v>
          </cell>
        </row>
        <row r="245">
          <cell r="A245">
            <v>47378</v>
          </cell>
        </row>
        <row r="246">
          <cell r="A246">
            <v>47384</v>
          </cell>
        </row>
        <row r="247">
          <cell r="A247">
            <v>47385</v>
          </cell>
        </row>
        <row r="248">
          <cell r="A248">
            <v>47399</v>
          </cell>
        </row>
        <row r="249">
          <cell r="A249">
            <v>47425</v>
          </cell>
        </row>
        <row r="250">
          <cell r="A250">
            <v>47445</v>
          </cell>
        </row>
        <row r="251">
          <cell r="A251">
            <v>47475</v>
          </cell>
        </row>
        <row r="252">
          <cell r="A252">
            <v>47476</v>
          </cell>
        </row>
        <row r="253">
          <cell r="A253">
            <v>47484</v>
          </cell>
        </row>
        <row r="254">
          <cell r="A254">
            <v>47497</v>
          </cell>
        </row>
        <row r="255">
          <cell r="A255">
            <v>47525</v>
          </cell>
        </row>
        <row r="256">
          <cell r="A256">
            <v>47562</v>
          </cell>
        </row>
        <row r="257">
          <cell r="A257">
            <v>47602</v>
          </cell>
        </row>
        <row r="258">
          <cell r="A258">
            <v>47606</v>
          </cell>
        </row>
        <row r="259">
          <cell r="A259">
            <v>47607</v>
          </cell>
        </row>
        <row r="260">
          <cell r="A260">
            <v>47608</v>
          </cell>
        </row>
        <row r="261">
          <cell r="A261">
            <v>47609</v>
          </cell>
        </row>
        <row r="262">
          <cell r="A262">
            <v>47679</v>
          </cell>
        </row>
        <row r="263">
          <cell r="A263">
            <v>47706</v>
          </cell>
        </row>
        <row r="264">
          <cell r="A264">
            <v>47707</v>
          </cell>
        </row>
        <row r="265">
          <cell r="A265">
            <v>47742</v>
          </cell>
        </row>
        <row r="266">
          <cell r="A266">
            <v>47749</v>
          </cell>
        </row>
        <row r="267">
          <cell r="A267">
            <v>47770</v>
          </cell>
        </row>
        <row r="268">
          <cell r="A268">
            <v>47790</v>
          </cell>
        </row>
        <row r="269">
          <cell r="A269">
            <v>47791</v>
          </cell>
        </row>
        <row r="270">
          <cell r="A270">
            <v>47810</v>
          </cell>
        </row>
        <row r="271">
          <cell r="A271">
            <v>47840</v>
          </cell>
        </row>
        <row r="272">
          <cell r="A272">
            <v>47849</v>
          </cell>
        </row>
        <row r="273">
          <cell r="A273">
            <v>47861</v>
          </cell>
        </row>
        <row r="274">
          <cell r="A274">
            <v>47890</v>
          </cell>
        </row>
        <row r="275">
          <cell r="A275">
            <v>47928</v>
          </cell>
        </row>
        <row r="276">
          <cell r="A276">
            <v>47967</v>
          </cell>
        </row>
        <row r="277">
          <cell r="A277">
            <v>47971</v>
          </cell>
        </row>
        <row r="278">
          <cell r="A278">
            <v>47972</v>
          </cell>
        </row>
        <row r="279">
          <cell r="A279">
            <v>47973</v>
          </cell>
        </row>
        <row r="280">
          <cell r="A280">
            <v>47974</v>
          </cell>
        </row>
        <row r="281">
          <cell r="A281">
            <v>48050</v>
          </cell>
        </row>
        <row r="282">
          <cell r="A282">
            <v>48071</v>
          </cell>
        </row>
        <row r="283">
          <cell r="A283">
            <v>48106</v>
          </cell>
        </row>
        <row r="284">
          <cell r="A284">
            <v>48114</v>
          </cell>
        </row>
        <row r="285">
          <cell r="A285">
            <v>48134</v>
          </cell>
        </row>
        <row r="286">
          <cell r="A286">
            <v>48155</v>
          </cell>
        </row>
        <row r="287">
          <cell r="A287">
            <v>48175</v>
          </cell>
        </row>
        <row r="288">
          <cell r="A288">
            <v>48176</v>
          </cell>
        </row>
        <row r="289">
          <cell r="A289">
            <v>48205</v>
          </cell>
        </row>
        <row r="290">
          <cell r="A290">
            <v>48214</v>
          </cell>
        </row>
        <row r="291">
          <cell r="A291">
            <v>48225</v>
          </cell>
        </row>
        <row r="292">
          <cell r="A292">
            <v>48255</v>
          </cell>
        </row>
        <row r="293">
          <cell r="A293">
            <v>48293</v>
          </cell>
        </row>
        <row r="294">
          <cell r="A294">
            <v>48333</v>
          </cell>
        </row>
        <row r="295">
          <cell r="A295">
            <v>48337</v>
          </cell>
        </row>
        <row r="296">
          <cell r="A296">
            <v>48338</v>
          </cell>
        </row>
        <row r="297">
          <cell r="A297">
            <v>48339</v>
          </cell>
        </row>
        <row r="298">
          <cell r="A298">
            <v>48414</v>
          </cell>
        </row>
        <row r="299">
          <cell r="A299">
            <v>48437</v>
          </cell>
        </row>
        <row r="300">
          <cell r="A300">
            <v>48477</v>
          </cell>
        </row>
        <row r="301">
          <cell r="A301">
            <v>48478</v>
          </cell>
        </row>
        <row r="302">
          <cell r="A302">
            <v>48479</v>
          </cell>
        </row>
        <row r="303">
          <cell r="A303">
            <v>48498</v>
          </cell>
        </row>
        <row r="304">
          <cell r="A304">
            <v>48521</v>
          </cell>
        </row>
        <row r="305">
          <cell r="A305">
            <v>48541</v>
          </cell>
        </row>
        <row r="306">
          <cell r="A306">
            <v>48571</v>
          </cell>
        </row>
        <row r="307">
          <cell r="A307">
            <v>48580</v>
          </cell>
        </row>
        <row r="308">
          <cell r="A308">
            <v>48589</v>
          </cell>
        </row>
        <row r="309">
          <cell r="A309">
            <v>48621</v>
          </cell>
        </row>
        <row r="310">
          <cell r="A310">
            <v>48658</v>
          </cell>
        </row>
        <row r="311">
          <cell r="A311">
            <v>48659</v>
          </cell>
        </row>
        <row r="312">
          <cell r="A312">
            <v>48698</v>
          </cell>
        </row>
        <row r="313">
          <cell r="A313">
            <v>48702</v>
          </cell>
        </row>
        <row r="314">
          <cell r="A314">
            <v>48703</v>
          </cell>
        </row>
        <row r="315">
          <cell r="A315">
            <v>48704</v>
          </cell>
        </row>
        <row r="316">
          <cell r="A316">
            <v>48778</v>
          </cell>
        </row>
        <row r="317">
          <cell r="A317">
            <v>48802</v>
          </cell>
        </row>
        <row r="318">
          <cell r="A318">
            <v>48841</v>
          </cell>
        </row>
        <row r="319">
          <cell r="A319">
            <v>48845</v>
          </cell>
        </row>
        <row r="320">
          <cell r="A320">
            <v>48862</v>
          </cell>
        </row>
        <row r="321">
          <cell r="A321">
            <v>48886</v>
          </cell>
        </row>
        <row r="322">
          <cell r="A322">
            <v>48906</v>
          </cell>
        </row>
        <row r="323">
          <cell r="A323">
            <v>48936</v>
          </cell>
        </row>
        <row r="324">
          <cell r="A324">
            <v>48945</v>
          </cell>
        </row>
        <row r="325">
          <cell r="A325">
            <v>48946</v>
          </cell>
        </row>
        <row r="326">
          <cell r="A326">
            <v>48953</v>
          </cell>
        </row>
        <row r="327">
          <cell r="A327">
            <v>48986</v>
          </cell>
        </row>
        <row r="328">
          <cell r="A328">
            <v>49023</v>
          </cell>
        </row>
        <row r="329">
          <cell r="A329">
            <v>49063</v>
          </cell>
        </row>
        <row r="330">
          <cell r="A330">
            <v>49067</v>
          </cell>
        </row>
        <row r="331">
          <cell r="A331">
            <v>49068</v>
          </cell>
        </row>
        <row r="332">
          <cell r="A332">
            <v>49069</v>
          </cell>
        </row>
        <row r="333">
          <cell r="A333">
            <v>49142</v>
          </cell>
        </row>
        <row r="334">
          <cell r="A334">
            <v>49167</v>
          </cell>
        </row>
        <row r="335">
          <cell r="A335">
            <v>49205</v>
          </cell>
        </row>
        <row r="336">
          <cell r="A336">
            <v>49210</v>
          </cell>
        </row>
        <row r="337">
          <cell r="A337">
            <v>49226</v>
          </cell>
        </row>
        <row r="338">
          <cell r="A338">
            <v>49251</v>
          </cell>
        </row>
        <row r="339">
          <cell r="A339">
            <v>49271</v>
          </cell>
        </row>
        <row r="340">
          <cell r="A340">
            <v>49301</v>
          </cell>
        </row>
        <row r="341">
          <cell r="A341">
            <v>49310</v>
          </cell>
        </row>
        <row r="342">
          <cell r="A342">
            <v>49317</v>
          </cell>
        </row>
        <row r="343">
          <cell r="A343">
            <v>49351</v>
          </cell>
        </row>
        <row r="344">
          <cell r="A344">
            <v>49352</v>
          </cell>
        </row>
        <row r="345">
          <cell r="A345">
            <v>49389</v>
          </cell>
        </row>
        <row r="346">
          <cell r="A346">
            <v>49428</v>
          </cell>
        </row>
        <row r="347">
          <cell r="A347">
            <v>49429</v>
          </cell>
        </row>
        <row r="348">
          <cell r="A348">
            <v>49432</v>
          </cell>
        </row>
        <row r="349">
          <cell r="A349">
            <v>49433</v>
          </cell>
        </row>
        <row r="350">
          <cell r="A350">
            <v>49434</v>
          </cell>
        </row>
        <row r="351">
          <cell r="A351">
            <v>49506</v>
          </cell>
        </row>
        <row r="352">
          <cell r="A352">
            <v>49532</v>
          </cell>
        </row>
        <row r="353">
          <cell r="A353">
            <v>49569</v>
          </cell>
        </row>
        <row r="354">
          <cell r="A354">
            <v>49575</v>
          </cell>
        </row>
        <row r="355">
          <cell r="A355">
            <v>49576</v>
          </cell>
        </row>
        <row r="356">
          <cell r="A356">
            <v>49590</v>
          </cell>
        </row>
        <row r="357">
          <cell r="A357">
            <v>49616</v>
          </cell>
        </row>
        <row r="358">
          <cell r="A358">
            <v>49636</v>
          </cell>
        </row>
        <row r="359">
          <cell r="A359">
            <v>49666</v>
          </cell>
        </row>
        <row r="360">
          <cell r="A360">
            <v>49667</v>
          </cell>
        </row>
        <row r="361">
          <cell r="A361">
            <v>49675</v>
          </cell>
        </row>
        <row r="362">
          <cell r="A362">
            <v>49688</v>
          </cell>
        </row>
        <row r="363">
          <cell r="A363">
            <v>49716</v>
          </cell>
        </row>
        <row r="364">
          <cell r="A364">
            <v>49754</v>
          </cell>
        </row>
        <row r="365">
          <cell r="A365">
            <v>49794</v>
          </cell>
        </row>
        <row r="366">
          <cell r="A366">
            <v>49798</v>
          </cell>
        </row>
        <row r="367">
          <cell r="A367">
            <v>49799</v>
          </cell>
        </row>
        <row r="368">
          <cell r="A368">
            <v>49800</v>
          </cell>
        </row>
        <row r="369">
          <cell r="A369">
            <v>49801</v>
          </cell>
        </row>
        <row r="370">
          <cell r="A370">
            <v>49877</v>
          </cell>
        </row>
        <row r="371">
          <cell r="A371">
            <v>49898</v>
          </cell>
        </row>
        <row r="372">
          <cell r="A372">
            <v>49933</v>
          </cell>
        </row>
        <row r="373">
          <cell r="A373">
            <v>49940</v>
          </cell>
        </row>
        <row r="374">
          <cell r="A374">
            <v>49961</v>
          </cell>
        </row>
        <row r="375">
          <cell r="A375">
            <v>49982</v>
          </cell>
        </row>
        <row r="376">
          <cell r="A376">
            <v>50002</v>
          </cell>
        </row>
        <row r="377">
          <cell r="A377">
            <v>50003</v>
          </cell>
        </row>
        <row r="378">
          <cell r="A378">
            <v>50032</v>
          </cell>
        </row>
        <row r="379">
          <cell r="A379">
            <v>50041</v>
          </cell>
        </row>
        <row r="380">
          <cell r="A380">
            <v>50052</v>
          </cell>
        </row>
        <row r="381">
          <cell r="A381">
            <v>50082</v>
          </cell>
        </row>
        <row r="382">
          <cell r="A382">
            <v>50119</v>
          </cell>
        </row>
        <row r="383">
          <cell r="A383">
            <v>50159</v>
          </cell>
        </row>
        <row r="384">
          <cell r="A384">
            <v>50163</v>
          </cell>
        </row>
        <row r="385">
          <cell r="A385">
            <v>50164</v>
          </cell>
        </row>
        <row r="386">
          <cell r="A386">
            <v>50165</v>
          </cell>
        </row>
        <row r="387">
          <cell r="A387">
            <v>50166</v>
          </cell>
        </row>
        <row r="388">
          <cell r="A388">
            <v>50241</v>
          </cell>
        </row>
        <row r="389">
          <cell r="A389">
            <v>50263</v>
          </cell>
        </row>
        <row r="390">
          <cell r="A390">
            <v>50304</v>
          </cell>
        </row>
        <row r="391">
          <cell r="A391">
            <v>50305</v>
          </cell>
        </row>
        <row r="392">
          <cell r="A392">
            <v>50306</v>
          </cell>
        </row>
        <row r="393">
          <cell r="A393">
            <v>50325</v>
          </cell>
        </row>
        <row r="394">
          <cell r="A394">
            <v>50347</v>
          </cell>
        </row>
        <row r="395">
          <cell r="A395">
            <v>50367</v>
          </cell>
        </row>
        <row r="396">
          <cell r="A396">
            <v>50397</v>
          </cell>
        </row>
        <row r="397">
          <cell r="A397">
            <v>50406</v>
          </cell>
        </row>
        <row r="398">
          <cell r="A398">
            <v>50416</v>
          </cell>
        </row>
        <row r="399">
          <cell r="A399">
            <v>50447</v>
          </cell>
        </row>
        <row r="400">
          <cell r="A400">
            <v>50484</v>
          </cell>
        </row>
        <row r="401">
          <cell r="A401">
            <v>50524</v>
          </cell>
        </row>
        <row r="402">
          <cell r="A402">
            <v>50528</v>
          </cell>
        </row>
        <row r="403">
          <cell r="A403">
            <v>50529</v>
          </cell>
        </row>
        <row r="404">
          <cell r="A404">
            <v>50530</v>
          </cell>
        </row>
        <row r="405">
          <cell r="A405">
            <v>50605</v>
          </cell>
        </row>
        <row r="406">
          <cell r="A406">
            <v>50628</v>
          </cell>
        </row>
        <row r="407">
          <cell r="A407">
            <v>50668</v>
          </cell>
        </row>
        <row r="408">
          <cell r="A408">
            <v>50671</v>
          </cell>
        </row>
        <row r="409">
          <cell r="A409">
            <v>50689</v>
          </cell>
        </row>
        <row r="410">
          <cell r="A410">
            <v>50712</v>
          </cell>
        </row>
        <row r="411">
          <cell r="A411">
            <v>50732</v>
          </cell>
        </row>
        <row r="412">
          <cell r="A412">
            <v>50762</v>
          </cell>
        </row>
        <row r="413">
          <cell r="A413">
            <v>50771</v>
          </cell>
        </row>
        <row r="414">
          <cell r="A414">
            <v>50780</v>
          </cell>
        </row>
        <row r="415">
          <cell r="A415">
            <v>50812</v>
          </cell>
        </row>
        <row r="416">
          <cell r="A416">
            <v>50850</v>
          </cell>
        </row>
        <row r="417">
          <cell r="A417">
            <v>50889</v>
          </cell>
        </row>
        <row r="418">
          <cell r="A418">
            <v>50893</v>
          </cell>
        </row>
        <row r="419">
          <cell r="A419">
            <v>50894</v>
          </cell>
        </row>
        <row r="420">
          <cell r="A420">
            <v>50895</v>
          </cell>
        </row>
        <row r="421">
          <cell r="A421">
            <v>50969</v>
          </cell>
        </row>
        <row r="422">
          <cell r="A422">
            <v>50993</v>
          </cell>
        </row>
        <row r="423">
          <cell r="A423">
            <v>51032</v>
          </cell>
        </row>
        <row r="424">
          <cell r="A424">
            <v>51036</v>
          </cell>
        </row>
        <row r="425">
          <cell r="A425">
            <v>51053</v>
          </cell>
        </row>
        <row r="426">
          <cell r="A426">
            <v>51077</v>
          </cell>
        </row>
        <row r="427">
          <cell r="A427">
            <v>51097</v>
          </cell>
        </row>
        <row r="428">
          <cell r="A428">
            <v>51127</v>
          </cell>
        </row>
        <row r="429">
          <cell r="A429">
            <v>51136</v>
          </cell>
        </row>
        <row r="430">
          <cell r="A430">
            <v>51137</v>
          </cell>
        </row>
        <row r="431">
          <cell r="A431">
            <v>51144</v>
          </cell>
        </row>
        <row r="432">
          <cell r="A432">
            <v>51177</v>
          </cell>
        </row>
        <row r="433">
          <cell r="A433">
            <v>51215</v>
          </cell>
        </row>
        <row r="434">
          <cell r="A434">
            <v>51255</v>
          </cell>
        </row>
        <row r="435">
          <cell r="A435">
            <v>51256</v>
          </cell>
        </row>
        <row r="436">
          <cell r="A436">
            <v>51259</v>
          </cell>
        </row>
        <row r="437">
          <cell r="A437">
            <v>51260</v>
          </cell>
        </row>
        <row r="438">
          <cell r="A438">
            <v>51261</v>
          </cell>
        </row>
        <row r="439">
          <cell r="A439">
            <v>51333</v>
          </cell>
        </row>
        <row r="440">
          <cell r="A440">
            <v>51359</v>
          </cell>
        </row>
        <row r="441">
          <cell r="A441">
            <v>51396</v>
          </cell>
        </row>
        <row r="442">
          <cell r="A442">
            <v>51401</v>
          </cell>
        </row>
        <row r="443">
          <cell r="A443">
            <v>51417</v>
          </cell>
        </row>
        <row r="444">
          <cell r="A444">
            <v>51443</v>
          </cell>
        </row>
        <row r="445">
          <cell r="A445">
            <v>51463</v>
          </cell>
        </row>
        <row r="446">
          <cell r="A446">
            <v>51493</v>
          </cell>
        </row>
        <row r="447">
          <cell r="A447">
            <v>51494</v>
          </cell>
        </row>
        <row r="448">
          <cell r="A448">
            <v>51502</v>
          </cell>
        </row>
        <row r="449">
          <cell r="A449">
            <v>51515</v>
          </cell>
        </row>
        <row r="450">
          <cell r="A450">
            <v>51543</v>
          </cell>
        </row>
        <row r="451">
          <cell r="A451">
            <v>51580</v>
          </cell>
        </row>
        <row r="452">
          <cell r="A452">
            <v>51620</v>
          </cell>
        </row>
        <row r="453">
          <cell r="A453">
            <v>51624</v>
          </cell>
        </row>
        <row r="454">
          <cell r="A454">
            <v>51625</v>
          </cell>
        </row>
        <row r="455">
          <cell r="A455">
            <v>51626</v>
          </cell>
        </row>
        <row r="456">
          <cell r="A456">
            <v>51627</v>
          </cell>
        </row>
        <row r="457">
          <cell r="A457">
            <v>51697</v>
          </cell>
        </row>
        <row r="458">
          <cell r="A458">
            <v>51724</v>
          </cell>
        </row>
        <row r="459">
          <cell r="A459">
            <v>51725</v>
          </cell>
        </row>
        <row r="460">
          <cell r="A460">
            <v>51760</v>
          </cell>
        </row>
        <row r="461">
          <cell r="A461">
            <v>51767</v>
          </cell>
        </row>
        <row r="462">
          <cell r="A462">
            <v>51788</v>
          </cell>
        </row>
        <row r="463">
          <cell r="A463">
            <v>51808</v>
          </cell>
        </row>
        <row r="464">
          <cell r="A464">
            <v>51809</v>
          </cell>
        </row>
        <row r="465">
          <cell r="A465">
            <v>51828</v>
          </cell>
        </row>
        <row r="466">
          <cell r="A466">
            <v>51858</v>
          </cell>
        </row>
        <row r="467">
          <cell r="A467">
            <v>51867</v>
          </cell>
        </row>
        <row r="468">
          <cell r="A468">
            <v>51879</v>
          </cell>
        </row>
        <row r="469">
          <cell r="A469">
            <v>51908</v>
          </cell>
        </row>
        <row r="470">
          <cell r="A470">
            <v>51945</v>
          </cell>
        </row>
        <row r="471">
          <cell r="A471">
            <v>51985</v>
          </cell>
        </row>
        <row r="472">
          <cell r="A472">
            <v>51989</v>
          </cell>
        </row>
        <row r="473">
          <cell r="A473">
            <v>51990</v>
          </cell>
        </row>
        <row r="474">
          <cell r="A474">
            <v>51991</v>
          </cell>
        </row>
        <row r="475">
          <cell r="A475">
            <v>51992</v>
          </cell>
        </row>
        <row r="476">
          <cell r="A476">
            <v>52068</v>
          </cell>
        </row>
        <row r="477">
          <cell r="A477">
            <v>52089</v>
          </cell>
        </row>
        <row r="478">
          <cell r="A478">
            <v>52124</v>
          </cell>
        </row>
        <row r="479">
          <cell r="A479">
            <v>52132</v>
          </cell>
        </row>
        <row r="480">
          <cell r="A480">
            <v>52152</v>
          </cell>
        </row>
        <row r="481">
          <cell r="A481">
            <v>52173</v>
          </cell>
        </row>
        <row r="482">
          <cell r="A482">
            <v>52193</v>
          </cell>
        </row>
        <row r="483">
          <cell r="A483">
            <v>52194</v>
          </cell>
        </row>
        <row r="484">
          <cell r="A484">
            <v>52223</v>
          </cell>
        </row>
        <row r="485">
          <cell r="A485">
            <v>52232</v>
          </cell>
        </row>
        <row r="486">
          <cell r="A486">
            <v>52243</v>
          </cell>
        </row>
        <row r="487">
          <cell r="A487">
            <v>52273</v>
          </cell>
        </row>
        <row r="488">
          <cell r="A488">
            <v>52311</v>
          </cell>
        </row>
        <row r="489">
          <cell r="A489">
            <v>52350</v>
          </cell>
        </row>
        <row r="490">
          <cell r="A490">
            <v>52354</v>
          </cell>
        </row>
        <row r="491">
          <cell r="A491">
            <v>52355</v>
          </cell>
        </row>
        <row r="492">
          <cell r="A492">
            <v>52356</v>
          </cell>
        </row>
        <row r="493">
          <cell r="A493">
            <v>52357</v>
          </cell>
        </row>
        <row r="494">
          <cell r="A494">
            <v>52432</v>
          </cell>
        </row>
        <row r="495">
          <cell r="A495">
            <v>52454</v>
          </cell>
        </row>
        <row r="496">
          <cell r="A496">
            <v>52495</v>
          </cell>
        </row>
        <row r="497">
          <cell r="A497">
            <v>52496</v>
          </cell>
        </row>
        <row r="498">
          <cell r="A498">
            <v>52497</v>
          </cell>
        </row>
        <row r="499">
          <cell r="A499">
            <v>52516</v>
          </cell>
        </row>
        <row r="500">
          <cell r="A500">
            <v>52538</v>
          </cell>
        </row>
        <row r="501">
          <cell r="A501">
            <v>52558</v>
          </cell>
        </row>
        <row r="502">
          <cell r="A502">
            <v>52588</v>
          </cell>
        </row>
        <row r="503">
          <cell r="A503">
            <v>52597</v>
          </cell>
        </row>
        <row r="504">
          <cell r="A504">
            <v>52607</v>
          </cell>
        </row>
        <row r="505">
          <cell r="A505">
            <v>52638</v>
          </cell>
        </row>
        <row r="506">
          <cell r="A506">
            <v>52676</v>
          </cell>
        </row>
        <row r="507">
          <cell r="A507">
            <v>52677</v>
          </cell>
        </row>
        <row r="508">
          <cell r="A508">
            <v>52716</v>
          </cell>
        </row>
        <row r="509">
          <cell r="A509">
            <v>52720</v>
          </cell>
        </row>
        <row r="510">
          <cell r="A510">
            <v>52721</v>
          </cell>
        </row>
        <row r="511">
          <cell r="A511">
            <v>52722</v>
          </cell>
        </row>
        <row r="512">
          <cell r="A512">
            <v>52796</v>
          </cell>
        </row>
        <row r="513">
          <cell r="A513">
            <v>52820</v>
          </cell>
        </row>
        <row r="514">
          <cell r="A514">
            <v>52859</v>
          </cell>
        </row>
        <row r="515">
          <cell r="A515">
            <v>52862</v>
          </cell>
        </row>
        <row r="516">
          <cell r="A516">
            <v>52880</v>
          </cell>
        </row>
        <row r="517">
          <cell r="A517">
            <v>52904</v>
          </cell>
        </row>
        <row r="518">
          <cell r="A518">
            <v>52924</v>
          </cell>
        </row>
        <row r="519">
          <cell r="A519">
            <v>52954</v>
          </cell>
        </row>
        <row r="520">
          <cell r="A520">
            <v>52963</v>
          </cell>
        </row>
        <row r="521">
          <cell r="A521">
            <v>52964</v>
          </cell>
        </row>
        <row r="522">
          <cell r="A522">
            <v>52971</v>
          </cell>
        </row>
        <row r="523">
          <cell r="A523">
            <v>53004</v>
          </cell>
        </row>
        <row r="524">
          <cell r="A524">
            <v>53041</v>
          </cell>
        </row>
        <row r="525">
          <cell r="A525">
            <v>53081</v>
          </cell>
        </row>
        <row r="526">
          <cell r="A526">
            <v>53085</v>
          </cell>
        </row>
        <row r="527">
          <cell r="A527">
            <v>53086</v>
          </cell>
        </row>
        <row r="528">
          <cell r="A528">
            <v>53087</v>
          </cell>
        </row>
        <row r="529">
          <cell r="A529">
            <v>53160</v>
          </cell>
        </row>
        <row r="530">
          <cell r="A530">
            <v>53185</v>
          </cell>
        </row>
        <row r="531">
          <cell r="A531">
            <v>53223</v>
          </cell>
        </row>
        <row r="532">
          <cell r="A532">
            <v>53227</v>
          </cell>
        </row>
        <row r="533">
          <cell r="A533">
            <v>53244</v>
          </cell>
        </row>
        <row r="534">
          <cell r="A534">
            <v>53269</v>
          </cell>
        </row>
        <row r="535">
          <cell r="A535">
            <v>53289</v>
          </cell>
        </row>
        <row r="536">
          <cell r="A536">
            <v>53319</v>
          </cell>
        </row>
        <row r="537">
          <cell r="A537">
            <v>53328</v>
          </cell>
        </row>
        <row r="538">
          <cell r="A538">
            <v>53335</v>
          </cell>
        </row>
        <row r="539">
          <cell r="A539">
            <v>53369</v>
          </cell>
        </row>
        <row r="540">
          <cell r="A540">
            <v>53370</v>
          </cell>
        </row>
        <row r="541">
          <cell r="A541">
            <v>53406</v>
          </cell>
        </row>
        <row r="542">
          <cell r="A542">
            <v>53446</v>
          </cell>
        </row>
        <row r="543">
          <cell r="A543">
            <v>53447</v>
          </cell>
        </row>
        <row r="544">
          <cell r="A544">
            <v>53450</v>
          </cell>
        </row>
        <row r="545">
          <cell r="A545">
            <v>53451</v>
          </cell>
        </row>
        <row r="546">
          <cell r="A546">
            <v>53452</v>
          </cell>
        </row>
        <row r="547">
          <cell r="A547">
            <v>53524</v>
          </cell>
        </row>
        <row r="548">
          <cell r="A548">
            <v>53550</v>
          </cell>
        </row>
        <row r="549">
          <cell r="A549">
            <v>53587</v>
          </cell>
        </row>
        <row r="550">
          <cell r="A550">
            <v>53593</v>
          </cell>
        </row>
        <row r="551">
          <cell r="A551">
            <v>53594</v>
          </cell>
        </row>
        <row r="552">
          <cell r="A552">
            <v>53608</v>
          </cell>
        </row>
        <row r="553">
          <cell r="A553">
            <v>53634</v>
          </cell>
        </row>
        <row r="554">
          <cell r="A554">
            <v>53654</v>
          </cell>
        </row>
        <row r="555">
          <cell r="A555">
            <v>53684</v>
          </cell>
        </row>
        <row r="556">
          <cell r="A556">
            <v>53685</v>
          </cell>
        </row>
        <row r="557">
          <cell r="A557">
            <v>53693</v>
          </cell>
        </row>
        <row r="558">
          <cell r="A558">
            <v>53706</v>
          </cell>
        </row>
        <row r="559">
          <cell r="A559">
            <v>53734</v>
          </cell>
        </row>
        <row r="560">
          <cell r="A560">
            <v>53772</v>
          </cell>
        </row>
        <row r="561">
          <cell r="A561">
            <v>53811</v>
          </cell>
        </row>
        <row r="562">
          <cell r="A562">
            <v>53815</v>
          </cell>
        </row>
        <row r="563">
          <cell r="A563">
            <v>53816</v>
          </cell>
        </row>
        <row r="564">
          <cell r="A564">
            <v>53817</v>
          </cell>
        </row>
        <row r="565">
          <cell r="A565">
            <v>53818</v>
          </cell>
        </row>
        <row r="566">
          <cell r="A566">
            <v>53888</v>
          </cell>
        </row>
        <row r="567">
          <cell r="A567">
            <v>53915</v>
          </cell>
        </row>
        <row r="568">
          <cell r="A568">
            <v>53916</v>
          </cell>
        </row>
        <row r="569">
          <cell r="A569">
            <v>53951</v>
          </cell>
        </row>
        <row r="570">
          <cell r="A570">
            <v>53958</v>
          </cell>
        </row>
        <row r="571">
          <cell r="A571">
            <v>53979</v>
          </cell>
        </row>
        <row r="572">
          <cell r="A572">
            <v>53999</v>
          </cell>
        </row>
        <row r="573">
          <cell r="A573">
            <v>54000</v>
          </cell>
        </row>
        <row r="574">
          <cell r="A574">
            <v>54019</v>
          </cell>
        </row>
        <row r="575">
          <cell r="A575">
            <v>54049</v>
          </cell>
        </row>
        <row r="576">
          <cell r="A576">
            <v>54058</v>
          </cell>
        </row>
        <row r="577">
          <cell r="A577">
            <v>54070</v>
          </cell>
        </row>
        <row r="578">
          <cell r="A578">
            <v>54099</v>
          </cell>
        </row>
        <row r="579">
          <cell r="A579">
            <v>54137</v>
          </cell>
        </row>
        <row r="580">
          <cell r="A580">
            <v>54177</v>
          </cell>
        </row>
        <row r="581">
          <cell r="A581">
            <v>54181</v>
          </cell>
        </row>
        <row r="582">
          <cell r="A582">
            <v>54182</v>
          </cell>
        </row>
        <row r="583">
          <cell r="A583">
            <v>54183</v>
          </cell>
        </row>
        <row r="584">
          <cell r="A584">
            <v>54184</v>
          </cell>
        </row>
        <row r="585">
          <cell r="A585">
            <v>54259</v>
          </cell>
        </row>
        <row r="586">
          <cell r="A586">
            <v>54281</v>
          </cell>
        </row>
        <row r="587">
          <cell r="A587">
            <v>54322</v>
          </cell>
        </row>
        <row r="588">
          <cell r="A588">
            <v>54323</v>
          </cell>
        </row>
        <row r="589">
          <cell r="A589">
            <v>54343</v>
          </cell>
        </row>
        <row r="590">
          <cell r="A590">
            <v>54365</v>
          </cell>
        </row>
        <row r="591">
          <cell r="A591">
            <v>54385</v>
          </cell>
        </row>
        <row r="592">
          <cell r="A592">
            <v>54415</v>
          </cell>
        </row>
        <row r="593">
          <cell r="A593">
            <v>54424</v>
          </cell>
        </row>
        <row r="594">
          <cell r="A594">
            <v>54434</v>
          </cell>
        </row>
        <row r="595">
          <cell r="A595">
            <v>54465</v>
          </cell>
        </row>
        <row r="596">
          <cell r="A596">
            <v>54502</v>
          </cell>
        </row>
        <row r="597">
          <cell r="A597">
            <v>54542</v>
          </cell>
        </row>
        <row r="598">
          <cell r="A598">
            <v>54546</v>
          </cell>
        </row>
        <row r="599">
          <cell r="A599">
            <v>54547</v>
          </cell>
        </row>
        <row r="600">
          <cell r="A600">
            <v>54548</v>
          </cell>
        </row>
        <row r="601">
          <cell r="A601">
            <v>54623</v>
          </cell>
        </row>
        <row r="602">
          <cell r="A602">
            <v>54646</v>
          </cell>
        </row>
        <row r="603">
          <cell r="A603">
            <v>54686</v>
          </cell>
        </row>
        <row r="604">
          <cell r="A604">
            <v>54687</v>
          </cell>
        </row>
        <row r="605">
          <cell r="A605">
            <v>54688</v>
          </cell>
        </row>
        <row r="606">
          <cell r="A606">
            <v>54707</v>
          </cell>
        </row>
        <row r="607">
          <cell r="A607">
            <v>54730</v>
          </cell>
        </row>
        <row r="608">
          <cell r="A608">
            <v>54750</v>
          </cell>
        </row>
        <row r="609">
          <cell r="A609">
            <v>54780</v>
          </cell>
        </row>
        <row r="610">
          <cell r="A610">
            <v>54789</v>
          </cell>
        </row>
        <row r="611">
          <cell r="A611">
            <v>54798</v>
          </cell>
        </row>
        <row r="612">
          <cell r="A612">
            <v>54830</v>
          </cell>
        </row>
        <row r="613">
          <cell r="A613">
            <v>54867</v>
          </cell>
        </row>
        <row r="614">
          <cell r="A614">
            <v>54868</v>
          </cell>
        </row>
        <row r="615">
          <cell r="A615">
            <v>54907</v>
          </cell>
        </row>
        <row r="616">
          <cell r="A616">
            <v>54911</v>
          </cell>
        </row>
        <row r="617">
          <cell r="A617">
            <v>54912</v>
          </cell>
        </row>
        <row r="618">
          <cell r="A618">
            <v>54913</v>
          </cell>
        </row>
        <row r="619">
          <cell r="A619">
            <v>54987</v>
          </cell>
        </row>
        <row r="620">
          <cell r="A620">
            <v>55011</v>
          </cell>
        </row>
        <row r="621">
          <cell r="A621">
            <v>55050</v>
          </cell>
        </row>
        <row r="622">
          <cell r="A622">
            <v>55054</v>
          </cell>
        </row>
        <row r="623">
          <cell r="A623">
            <v>55071</v>
          </cell>
        </row>
        <row r="624">
          <cell r="A624">
            <v>55095</v>
          </cell>
        </row>
        <row r="625">
          <cell r="A625">
            <v>55115</v>
          </cell>
        </row>
        <row r="626">
          <cell r="A626">
            <v>55145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kumimoji="1" sz="110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M184"/>
  <sheetViews>
    <sheetView tabSelected="1" zoomScaleNormal="100"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Q6" sqref="Q6"/>
    </sheetView>
  </sheetViews>
  <sheetFormatPr defaultColWidth="2.58203125" defaultRowHeight="18" outlineLevelCol="1" x14ac:dyDescent="0.55000000000000004"/>
  <cols>
    <col min="1" max="1" width="5" style="51" customWidth="1"/>
    <col min="2" max="2" width="4.9140625" style="36" customWidth="1"/>
    <col min="3" max="3" width="29.4140625" style="1" customWidth="1"/>
    <col min="4" max="4" width="6.08203125" style="1" customWidth="1"/>
    <col min="5" max="8" width="6.08203125" style="1" bestFit="1" customWidth="1"/>
    <col min="9" max="9" width="6.6640625" style="1" bestFit="1" customWidth="1"/>
    <col min="10" max="14" width="8.08203125" style="1" hidden="1" customWidth="1" outlineLevel="1"/>
    <col min="15" max="15" width="3.1640625" style="1" customWidth="1" collapsed="1"/>
    <col min="16" max="24" width="3.25" style="1" bestFit="1" customWidth="1"/>
    <col min="25" max="45" width="3.1640625" style="1" bestFit="1" customWidth="1"/>
    <col min="46" max="113" width="3.1640625" style="1" customWidth="1"/>
    <col min="114" max="16384" width="2.58203125" style="1"/>
  </cols>
  <sheetData>
    <row r="1" spans="1:117" s="2" customFormat="1" ht="9.5" customHeight="1" x14ac:dyDescent="0.55000000000000004"/>
    <row r="2" spans="1:117" ht="18.5" thickBot="1" x14ac:dyDescent="0.6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">
        <f ca="1">O3</f>
        <v>43640</v>
      </c>
      <c r="P2" s="16" t="str">
        <f ca="1">IF(DAY(P3)=1, P3, "")</f>
        <v/>
      </c>
      <c r="Q2" s="16" t="str">
        <f t="shared" ref="Q2:AR2" ca="1" si="0">IF(DAY(Q3)=1, Q3, "")</f>
        <v/>
      </c>
      <c r="R2" s="16" t="str">
        <f t="shared" ca="1" si="0"/>
        <v/>
      </c>
      <c r="S2" s="16" t="str">
        <f t="shared" ca="1" si="0"/>
        <v/>
      </c>
      <c r="T2" s="16" t="str">
        <f t="shared" ca="1" si="0"/>
        <v/>
      </c>
      <c r="U2" s="16" t="str">
        <f t="shared" ca="1" si="0"/>
        <v/>
      </c>
      <c r="V2" s="16">
        <f t="shared" ca="1" si="0"/>
        <v>43647</v>
      </c>
      <c r="W2" s="16" t="str">
        <f t="shared" ca="1" si="0"/>
        <v/>
      </c>
      <c r="X2" s="16" t="str">
        <f t="shared" ca="1" si="0"/>
        <v/>
      </c>
      <c r="Y2" s="16" t="str">
        <f t="shared" ca="1" si="0"/>
        <v/>
      </c>
      <c r="Z2" s="16" t="str">
        <f t="shared" ca="1" si="0"/>
        <v/>
      </c>
      <c r="AA2" s="16" t="str">
        <f t="shared" ca="1" si="0"/>
        <v/>
      </c>
      <c r="AB2" s="16" t="str">
        <f t="shared" ca="1" si="0"/>
        <v/>
      </c>
      <c r="AC2" s="16" t="str">
        <f t="shared" ca="1" si="0"/>
        <v/>
      </c>
      <c r="AD2" s="16" t="str">
        <f t="shared" ca="1" si="0"/>
        <v/>
      </c>
      <c r="AE2" s="16" t="str">
        <f t="shared" ca="1" si="0"/>
        <v/>
      </c>
      <c r="AF2" s="16" t="str">
        <f t="shared" ca="1" si="0"/>
        <v/>
      </c>
      <c r="AG2" s="16" t="str">
        <f t="shared" ca="1" si="0"/>
        <v/>
      </c>
      <c r="AH2" s="16" t="str">
        <f t="shared" ca="1" si="0"/>
        <v/>
      </c>
      <c r="AI2" s="16" t="str">
        <f t="shared" ca="1" si="0"/>
        <v/>
      </c>
      <c r="AJ2" s="16" t="str">
        <f t="shared" ca="1" si="0"/>
        <v/>
      </c>
      <c r="AK2" s="16" t="str">
        <f t="shared" ca="1" si="0"/>
        <v/>
      </c>
      <c r="AL2" s="16" t="str">
        <f t="shared" ca="1" si="0"/>
        <v/>
      </c>
      <c r="AM2" s="16" t="str">
        <f t="shared" ca="1" si="0"/>
        <v/>
      </c>
      <c r="AN2" s="16" t="str">
        <f t="shared" ca="1" si="0"/>
        <v/>
      </c>
      <c r="AO2" s="16" t="str">
        <f t="shared" ca="1" si="0"/>
        <v/>
      </c>
      <c r="AP2" s="16" t="str">
        <f t="shared" ca="1" si="0"/>
        <v/>
      </c>
      <c r="AQ2" s="16" t="str">
        <f t="shared" ca="1" si="0"/>
        <v/>
      </c>
      <c r="AR2" s="16" t="str">
        <f t="shared" ca="1" si="0"/>
        <v/>
      </c>
      <c r="AS2" s="16" t="str">
        <f t="shared" ref="AS2" ca="1" si="1">IF(DAY(AS3)=1, AS3, "")</f>
        <v/>
      </c>
      <c r="AT2" s="16" t="str">
        <f t="shared" ref="AT2" ca="1" si="2">IF(DAY(AT3)=1, AT3, "")</f>
        <v/>
      </c>
      <c r="AU2" s="16" t="str">
        <f t="shared" ref="AU2" ca="1" si="3">IF(DAY(AU3)=1, AU3, "")</f>
        <v/>
      </c>
      <c r="AV2" s="16" t="str">
        <f t="shared" ref="AV2" ca="1" si="4">IF(DAY(AV3)=1, AV3, "")</f>
        <v/>
      </c>
      <c r="AW2" s="16" t="str">
        <f t="shared" ref="AW2" ca="1" si="5">IF(DAY(AW3)=1, AW3, "")</f>
        <v/>
      </c>
      <c r="AX2" s="16" t="str">
        <f t="shared" ref="AX2" ca="1" si="6">IF(DAY(AX3)=1, AX3, "")</f>
        <v/>
      </c>
      <c r="AY2" s="16" t="str">
        <f t="shared" ref="AY2" ca="1" si="7">IF(DAY(AY3)=1, AY3, "")</f>
        <v/>
      </c>
      <c r="AZ2" s="16" t="str">
        <f t="shared" ref="AZ2" ca="1" si="8">IF(DAY(AZ3)=1, AZ3, "")</f>
        <v/>
      </c>
      <c r="BA2" s="16">
        <f t="shared" ref="BA2" ca="1" si="9">IF(DAY(BA3)=1, BA3, "")</f>
        <v>43678</v>
      </c>
      <c r="BB2" s="16" t="str">
        <f t="shared" ref="BB2" ca="1" si="10">IF(DAY(BB3)=1, BB3, "")</f>
        <v/>
      </c>
      <c r="BC2" s="16" t="str">
        <f t="shared" ref="BC2" ca="1" si="11">IF(DAY(BC3)=1, BC3, "")</f>
        <v/>
      </c>
      <c r="BD2" s="16" t="str">
        <f t="shared" ref="BD2" ca="1" si="12">IF(DAY(BD3)=1, BD3, "")</f>
        <v/>
      </c>
      <c r="BE2" s="16" t="str">
        <f t="shared" ref="BE2" ca="1" si="13">IF(DAY(BE3)=1, BE3, "")</f>
        <v/>
      </c>
      <c r="BF2" s="16" t="str">
        <f t="shared" ref="BF2" ca="1" si="14">IF(DAY(BF3)=1, BF3, "")</f>
        <v/>
      </c>
      <c r="BG2" s="16" t="str">
        <f t="shared" ref="BG2" ca="1" si="15">IF(DAY(BG3)=1, BG3, "")</f>
        <v/>
      </c>
      <c r="BH2" s="16" t="str">
        <f t="shared" ref="BH2" ca="1" si="16">IF(DAY(BH3)=1, BH3, "")</f>
        <v/>
      </c>
      <c r="BI2" s="16" t="str">
        <f t="shared" ref="BI2" ca="1" si="17">IF(DAY(BI3)=1, BI3, "")</f>
        <v/>
      </c>
      <c r="BJ2" s="16" t="str">
        <f t="shared" ref="BJ2" ca="1" si="18">IF(DAY(BJ3)=1, BJ3, "")</f>
        <v/>
      </c>
      <c r="BK2" s="16" t="str">
        <f t="shared" ref="BK2" ca="1" si="19">IF(DAY(BK3)=1, BK3, "")</f>
        <v/>
      </c>
      <c r="BL2" s="16" t="str">
        <f t="shared" ref="BL2" ca="1" si="20">IF(DAY(BL3)=1, BL3, "")</f>
        <v/>
      </c>
      <c r="BM2" s="16" t="str">
        <f t="shared" ref="BM2" ca="1" si="21">IF(DAY(BM3)=1, BM3, "")</f>
        <v/>
      </c>
      <c r="BN2" s="16" t="str">
        <f t="shared" ref="BN2" ca="1" si="22">IF(DAY(BN3)=1, BN3, "")</f>
        <v/>
      </c>
      <c r="BO2" s="16" t="str">
        <f t="shared" ref="BO2" ca="1" si="23">IF(DAY(BO3)=1, BO3, "")</f>
        <v/>
      </c>
      <c r="BP2" s="16" t="str">
        <f t="shared" ref="BP2" ca="1" si="24">IF(DAY(BP3)=1, BP3, "")</f>
        <v/>
      </c>
      <c r="BQ2" s="16" t="str">
        <f t="shared" ref="BQ2" ca="1" si="25">IF(DAY(BQ3)=1, BQ3, "")</f>
        <v/>
      </c>
      <c r="BR2" s="16" t="str">
        <f t="shared" ref="BR2" ca="1" si="26">IF(DAY(BR3)=1, BR3, "")</f>
        <v/>
      </c>
      <c r="BS2" s="16" t="str">
        <f t="shared" ref="BS2" ca="1" si="27">IF(DAY(BS3)=1, BS3, "")</f>
        <v/>
      </c>
      <c r="BT2" s="16" t="str">
        <f t="shared" ref="BT2" ca="1" si="28">IF(DAY(BT3)=1, BT3, "")</f>
        <v/>
      </c>
      <c r="BU2" s="16" t="str">
        <f t="shared" ref="BU2" ca="1" si="29">IF(DAY(BU3)=1, BU3, "")</f>
        <v/>
      </c>
      <c r="BV2" s="16" t="str">
        <f t="shared" ref="BV2" ca="1" si="30">IF(DAY(BV3)=1, BV3, "")</f>
        <v/>
      </c>
      <c r="BW2" s="16" t="str">
        <f t="shared" ref="BW2" ca="1" si="31">IF(DAY(BW3)=1, BW3, "")</f>
        <v/>
      </c>
      <c r="BX2" s="16" t="str">
        <f t="shared" ref="BX2" ca="1" si="32">IF(DAY(BX3)=1, BX3, "")</f>
        <v/>
      </c>
      <c r="BY2" s="16" t="str">
        <f t="shared" ref="BY2" ca="1" si="33">IF(DAY(BY3)=1, BY3, "")</f>
        <v/>
      </c>
      <c r="BZ2" s="16" t="str">
        <f t="shared" ref="BZ2" ca="1" si="34">IF(DAY(BZ3)=1, BZ3, "")</f>
        <v/>
      </c>
      <c r="CA2" s="16" t="str">
        <f t="shared" ref="CA2" ca="1" si="35">IF(DAY(CA3)=1, CA3, "")</f>
        <v/>
      </c>
      <c r="CB2" s="16" t="str">
        <f t="shared" ref="CB2" ca="1" si="36">IF(DAY(CB3)=1, CB3, "")</f>
        <v/>
      </c>
      <c r="CC2" s="16" t="str">
        <f t="shared" ref="CC2" ca="1" si="37">IF(DAY(CC3)=1, CC3, "")</f>
        <v/>
      </c>
      <c r="CD2" s="16" t="str">
        <f t="shared" ref="CD2" ca="1" si="38">IF(DAY(CD3)=1, CD3, "")</f>
        <v/>
      </c>
      <c r="CE2" s="16" t="str">
        <f t="shared" ref="CE2" ca="1" si="39">IF(DAY(CE3)=1, CE3, "")</f>
        <v/>
      </c>
      <c r="CF2" s="16">
        <f t="shared" ref="CF2" ca="1" si="40">IF(DAY(CF3)=1, CF3, "")</f>
        <v>43709</v>
      </c>
      <c r="CG2" s="16" t="str">
        <f t="shared" ref="CG2" ca="1" si="41">IF(DAY(CG3)=1, CG3, "")</f>
        <v/>
      </c>
      <c r="CH2" s="16" t="str">
        <f t="shared" ref="CH2" ca="1" si="42">IF(DAY(CH3)=1, CH3, "")</f>
        <v/>
      </c>
      <c r="CI2" s="16" t="str">
        <f t="shared" ref="CI2" ca="1" si="43">IF(DAY(CI3)=1, CI3, "")</f>
        <v/>
      </c>
      <c r="CJ2" s="16" t="str">
        <f t="shared" ref="CJ2" ca="1" si="44">IF(DAY(CJ3)=1, CJ3, "")</f>
        <v/>
      </c>
      <c r="CK2" s="16" t="str">
        <f t="shared" ref="CK2" ca="1" si="45">IF(DAY(CK3)=1, CK3, "")</f>
        <v/>
      </c>
      <c r="CL2" s="16" t="str">
        <f t="shared" ref="CL2" ca="1" si="46">IF(DAY(CL3)=1, CL3, "")</f>
        <v/>
      </c>
      <c r="CM2" s="16" t="str">
        <f t="shared" ref="CM2" ca="1" si="47">IF(DAY(CM3)=1, CM3, "")</f>
        <v/>
      </c>
      <c r="CN2" s="16" t="str">
        <f t="shared" ref="CN2" ca="1" si="48">IF(DAY(CN3)=1, CN3, "")</f>
        <v/>
      </c>
      <c r="CO2" s="16" t="str">
        <f t="shared" ref="CO2" ca="1" si="49">IF(DAY(CO3)=1, CO3, "")</f>
        <v/>
      </c>
      <c r="CP2" s="16" t="str">
        <f t="shared" ref="CP2" ca="1" si="50">IF(DAY(CP3)=1, CP3, "")</f>
        <v/>
      </c>
      <c r="CQ2" s="16" t="str">
        <f t="shared" ref="CQ2" ca="1" si="51">IF(DAY(CQ3)=1, CQ3, "")</f>
        <v/>
      </c>
      <c r="CR2" s="16" t="str">
        <f t="shared" ref="CR2" ca="1" si="52">IF(DAY(CR3)=1, CR3, "")</f>
        <v/>
      </c>
      <c r="CS2" s="16" t="str">
        <f t="shared" ref="CS2" ca="1" si="53">IF(DAY(CS3)=1, CS3, "")</f>
        <v/>
      </c>
      <c r="CT2" s="16" t="str">
        <f t="shared" ref="CT2" ca="1" si="54">IF(DAY(CT3)=1, CT3, "")</f>
        <v/>
      </c>
      <c r="CU2" s="16" t="str">
        <f t="shared" ref="CU2" ca="1" si="55">IF(DAY(CU3)=1, CU3, "")</f>
        <v/>
      </c>
      <c r="CV2" s="16" t="str">
        <f t="shared" ref="CV2" ca="1" si="56">IF(DAY(CV3)=1, CV3, "")</f>
        <v/>
      </c>
      <c r="CW2" s="16" t="str">
        <f t="shared" ref="CW2" ca="1" si="57">IF(DAY(CW3)=1, CW3, "")</f>
        <v/>
      </c>
      <c r="CX2" s="16" t="str">
        <f t="shared" ref="CX2" ca="1" si="58">IF(DAY(CX3)=1, CX3, "")</f>
        <v/>
      </c>
      <c r="CY2" s="16" t="str">
        <f t="shared" ref="CY2" ca="1" si="59">IF(DAY(CY3)=1, CY3, "")</f>
        <v/>
      </c>
      <c r="CZ2" s="16" t="str">
        <f t="shared" ref="CZ2" ca="1" si="60">IF(DAY(CZ3)=1, CZ3, "")</f>
        <v/>
      </c>
      <c r="DA2" s="16" t="str">
        <f t="shared" ref="DA2" ca="1" si="61">IF(DAY(DA3)=1, DA3, "")</f>
        <v/>
      </c>
      <c r="DB2" s="16" t="str">
        <f t="shared" ref="DB2" ca="1" si="62">IF(DAY(DB3)=1, DB3, "")</f>
        <v/>
      </c>
      <c r="DC2" s="16" t="str">
        <f t="shared" ref="DC2" ca="1" si="63">IF(DAY(DC3)=1, DC3, "")</f>
        <v/>
      </c>
      <c r="DD2" s="16" t="str">
        <f t="shared" ref="DD2" ca="1" si="64">IF(DAY(DD3)=1, DD3, "")</f>
        <v/>
      </c>
      <c r="DE2" s="16" t="str">
        <f t="shared" ref="DE2" ca="1" si="65">IF(DAY(DE3)=1, DE3, "")</f>
        <v/>
      </c>
      <c r="DF2" s="16" t="str">
        <f t="shared" ref="DF2" ca="1" si="66">IF(DAY(DF3)=1, DF3, "")</f>
        <v/>
      </c>
      <c r="DG2" s="16" t="str">
        <f t="shared" ref="DG2" ca="1" si="67">IF(DAY(DG3)=1, DG3, "")</f>
        <v/>
      </c>
      <c r="DH2" s="16" t="str">
        <f t="shared" ref="DH2:DI2" ca="1" si="68">IF(DAY(DH3)=1, DH3, "")</f>
        <v/>
      </c>
      <c r="DI2" s="17" t="str">
        <f t="shared" ca="1" si="68"/>
        <v/>
      </c>
    </row>
    <row r="3" spans="1:117" ht="18.5" thickBot="1" x14ac:dyDescent="0.6">
      <c r="A3" s="8" t="s">
        <v>39</v>
      </c>
      <c r="B3" s="9"/>
      <c r="C3" s="10"/>
      <c r="D3" s="11"/>
      <c r="E3" s="8" t="s">
        <v>4</v>
      </c>
      <c r="F3" s="10"/>
      <c r="G3" s="8" t="s">
        <v>5</v>
      </c>
      <c r="H3" s="9"/>
      <c r="I3" s="11"/>
      <c r="J3" s="8" t="s">
        <v>14</v>
      </c>
      <c r="K3" s="9"/>
      <c r="L3" s="9"/>
      <c r="M3" s="9"/>
      <c r="N3" s="9"/>
      <c r="O3" s="14">
        <f ca="1">稼働日設定!B4</f>
        <v>43640</v>
      </c>
      <c r="P3" s="12">
        <f ca="1">O3+1</f>
        <v>43641</v>
      </c>
      <c r="Q3" s="12">
        <f t="shared" ref="Q3:X3" ca="1" si="69">P3+1</f>
        <v>43642</v>
      </c>
      <c r="R3" s="12">
        <f t="shared" ca="1" si="69"/>
        <v>43643</v>
      </c>
      <c r="S3" s="12">
        <f t="shared" ca="1" si="69"/>
        <v>43644</v>
      </c>
      <c r="T3" s="12">
        <f t="shared" ca="1" si="69"/>
        <v>43645</v>
      </c>
      <c r="U3" s="12">
        <f t="shared" ca="1" si="69"/>
        <v>43646</v>
      </c>
      <c r="V3" s="12">
        <f t="shared" ca="1" si="69"/>
        <v>43647</v>
      </c>
      <c r="W3" s="12">
        <f t="shared" ca="1" si="69"/>
        <v>43648</v>
      </c>
      <c r="X3" s="12">
        <f t="shared" ca="1" si="69"/>
        <v>43649</v>
      </c>
      <c r="Y3" s="12">
        <f t="shared" ref="Y3:AP3" ca="1" si="70">X3+1</f>
        <v>43650</v>
      </c>
      <c r="Z3" s="12">
        <f t="shared" ca="1" si="70"/>
        <v>43651</v>
      </c>
      <c r="AA3" s="12">
        <f t="shared" ca="1" si="70"/>
        <v>43652</v>
      </c>
      <c r="AB3" s="12">
        <f t="shared" ca="1" si="70"/>
        <v>43653</v>
      </c>
      <c r="AC3" s="12">
        <f t="shared" ca="1" si="70"/>
        <v>43654</v>
      </c>
      <c r="AD3" s="12">
        <f t="shared" ca="1" si="70"/>
        <v>43655</v>
      </c>
      <c r="AE3" s="12">
        <f t="shared" ca="1" si="70"/>
        <v>43656</v>
      </c>
      <c r="AF3" s="12">
        <f t="shared" ca="1" si="70"/>
        <v>43657</v>
      </c>
      <c r="AG3" s="12">
        <f t="shared" ca="1" si="70"/>
        <v>43658</v>
      </c>
      <c r="AH3" s="12">
        <f t="shared" ca="1" si="70"/>
        <v>43659</v>
      </c>
      <c r="AI3" s="12">
        <f t="shared" ca="1" si="70"/>
        <v>43660</v>
      </c>
      <c r="AJ3" s="12">
        <f t="shared" ca="1" si="70"/>
        <v>43661</v>
      </c>
      <c r="AK3" s="12">
        <f t="shared" ca="1" si="70"/>
        <v>43662</v>
      </c>
      <c r="AL3" s="12">
        <f t="shared" ca="1" si="70"/>
        <v>43663</v>
      </c>
      <c r="AM3" s="12">
        <f t="shared" ca="1" si="70"/>
        <v>43664</v>
      </c>
      <c r="AN3" s="12">
        <f t="shared" ca="1" si="70"/>
        <v>43665</v>
      </c>
      <c r="AO3" s="12">
        <f t="shared" ca="1" si="70"/>
        <v>43666</v>
      </c>
      <c r="AP3" s="12">
        <f t="shared" ca="1" si="70"/>
        <v>43667</v>
      </c>
      <c r="AQ3" s="12">
        <f t="shared" ref="AQ3:AS3" ca="1" si="71">AP3+1</f>
        <v>43668</v>
      </c>
      <c r="AR3" s="12">
        <f t="shared" ca="1" si="71"/>
        <v>43669</v>
      </c>
      <c r="AS3" s="12">
        <f t="shared" ca="1" si="71"/>
        <v>43670</v>
      </c>
      <c r="AT3" s="12">
        <f t="shared" ref="AT3:CM3" ca="1" si="72">AS3+1</f>
        <v>43671</v>
      </c>
      <c r="AU3" s="12">
        <f t="shared" ca="1" si="72"/>
        <v>43672</v>
      </c>
      <c r="AV3" s="12">
        <f t="shared" ca="1" si="72"/>
        <v>43673</v>
      </c>
      <c r="AW3" s="12">
        <f t="shared" ca="1" si="72"/>
        <v>43674</v>
      </c>
      <c r="AX3" s="12">
        <f t="shared" ca="1" si="72"/>
        <v>43675</v>
      </c>
      <c r="AY3" s="12">
        <f t="shared" ca="1" si="72"/>
        <v>43676</v>
      </c>
      <c r="AZ3" s="12">
        <f t="shared" ca="1" si="72"/>
        <v>43677</v>
      </c>
      <c r="BA3" s="12">
        <f t="shared" ca="1" si="72"/>
        <v>43678</v>
      </c>
      <c r="BB3" s="12">
        <f t="shared" ca="1" si="72"/>
        <v>43679</v>
      </c>
      <c r="BC3" s="12">
        <f t="shared" ca="1" si="72"/>
        <v>43680</v>
      </c>
      <c r="BD3" s="12">
        <f t="shared" ca="1" si="72"/>
        <v>43681</v>
      </c>
      <c r="BE3" s="12">
        <f t="shared" ca="1" si="72"/>
        <v>43682</v>
      </c>
      <c r="BF3" s="12">
        <f t="shared" ca="1" si="72"/>
        <v>43683</v>
      </c>
      <c r="BG3" s="12">
        <f t="shared" ca="1" si="72"/>
        <v>43684</v>
      </c>
      <c r="BH3" s="12">
        <f t="shared" ca="1" si="72"/>
        <v>43685</v>
      </c>
      <c r="BI3" s="12">
        <f t="shared" ca="1" si="72"/>
        <v>43686</v>
      </c>
      <c r="BJ3" s="12">
        <f t="shared" ca="1" si="72"/>
        <v>43687</v>
      </c>
      <c r="BK3" s="12">
        <f t="shared" ca="1" si="72"/>
        <v>43688</v>
      </c>
      <c r="BL3" s="12">
        <f t="shared" ca="1" si="72"/>
        <v>43689</v>
      </c>
      <c r="BM3" s="12">
        <f t="shared" ca="1" si="72"/>
        <v>43690</v>
      </c>
      <c r="BN3" s="12">
        <f t="shared" ca="1" si="72"/>
        <v>43691</v>
      </c>
      <c r="BO3" s="12">
        <f t="shared" ca="1" si="72"/>
        <v>43692</v>
      </c>
      <c r="BP3" s="12">
        <f t="shared" ca="1" si="72"/>
        <v>43693</v>
      </c>
      <c r="BQ3" s="12">
        <f t="shared" ca="1" si="72"/>
        <v>43694</v>
      </c>
      <c r="BR3" s="12">
        <f t="shared" ca="1" si="72"/>
        <v>43695</v>
      </c>
      <c r="BS3" s="12">
        <f t="shared" ca="1" si="72"/>
        <v>43696</v>
      </c>
      <c r="BT3" s="12">
        <f t="shared" ca="1" si="72"/>
        <v>43697</v>
      </c>
      <c r="BU3" s="12">
        <f t="shared" ca="1" si="72"/>
        <v>43698</v>
      </c>
      <c r="BV3" s="12">
        <f t="shared" ca="1" si="72"/>
        <v>43699</v>
      </c>
      <c r="BW3" s="12">
        <f t="shared" ca="1" si="72"/>
        <v>43700</v>
      </c>
      <c r="BX3" s="12">
        <f t="shared" ca="1" si="72"/>
        <v>43701</v>
      </c>
      <c r="BY3" s="12">
        <f t="shared" ca="1" si="72"/>
        <v>43702</v>
      </c>
      <c r="BZ3" s="12">
        <f t="shared" ca="1" si="72"/>
        <v>43703</v>
      </c>
      <c r="CA3" s="12">
        <f t="shared" ca="1" si="72"/>
        <v>43704</v>
      </c>
      <c r="CB3" s="12">
        <f t="shared" ca="1" si="72"/>
        <v>43705</v>
      </c>
      <c r="CC3" s="12">
        <f t="shared" ca="1" si="72"/>
        <v>43706</v>
      </c>
      <c r="CD3" s="12">
        <f t="shared" ca="1" si="72"/>
        <v>43707</v>
      </c>
      <c r="CE3" s="12">
        <f t="shared" ca="1" si="72"/>
        <v>43708</v>
      </c>
      <c r="CF3" s="12">
        <f t="shared" ca="1" si="72"/>
        <v>43709</v>
      </c>
      <c r="CG3" s="12">
        <f t="shared" ca="1" si="72"/>
        <v>43710</v>
      </c>
      <c r="CH3" s="12">
        <f t="shared" ca="1" si="72"/>
        <v>43711</v>
      </c>
      <c r="CI3" s="12">
        <f t="shared" ca="1" si="72"/>
        <v>43712</v>
      </c>
      <c r="CJ3" s="12">
        <f t="shared" ca="1" si="72"/>
        <v>43713</v>
      </c>
      <c r="CK3" s="12">
        <f t="shared" ca="1" si="72"/>
        <v>43714</v>
      </c>
      <c r="CL3" s="12">
        <f t="shared" ca="1" si="72"/>
        <v>43715</v>
      </c>
      <c r="CM3" s="12">
        <f t="shared" ca="1" si="72"/>
        <v>43716</v>
      </c>
      <c r="CN3" s="12">
        <f t="shared" ref="CN3:CZ3" ca="1" si="73">CM3+1</f>
        <v>43717</v>
      </c>
      <c r="CO3" s="12">
        <f t="shared" ca="1" si="73"/>
        <v>43718</v>
      </c>
      <c r="CP3" s="12">
        <f t="shared" ca="1" si="73"/>
        <v>43719</v>
      </c>
      <c r="CQ3" s="12">
        <f t="shared" ca="1" si="73"/>
        <v>43720</v>
      </c>
      <c r="CR3" s="12">
        <f t="shared" ca="1" si="73"/>
        <v>43721</v>
      </c>
      <c r="CS3" s="12">
        <f t="shared" ca="1" si="73"/>
        <v>43722</v>
      </c>
      <c r="CT3" s="12">
        <f t="shared" ca="1" si="73"/>
        <v>43723</v>
      </c>
      <c r="CU3" s="12">
        <f t="shared" ca="1" si="73"/>
        <v>43724</v>
      </c>
      <c r="CV3" s="12">
        <f t="shared" ca="1" si="73"/>
        <v>43725</v>
      </c>
      <c r="CW3" s="12">
        <f t="shared" ca="1" si="73"/>
        <v>43726</v>
      </c>
      <c r="CX3" s="12">
        <f t="shared" ca="1" si="73"/>
        <v>43727</v>
      </c>
      <c r="CY3" s="12">
        <f t="shared" ca="1" si="73"/>
        <v>43728</v>
      </c>
      <c r="CZ3" s="12">
        <f t="shared" ca="1" si="73"/>
        <v>43729</v>
      </c>
      <c r="DA3" s="12">
        <f t="shared" ref="DA3:DI3" ca="1" si="74">CZ3+1</f>
        <v>43730</v>
      </c>
      <c r="DB3" s="12">
        <f t="shared" ca="1" si="74"/>
        <v>43731</v>
      </c>
      <c r="DC3" s="12">
        <f t="shared" ca="1" si="74"/>
        <v>43732</v>
      </c>
      <c r="DD3" s="12">
        <f t="shared" ca="1" si="74"/>
        <v>43733</v>
      </c>
      <c r="DE3" s="12">
        <f t="shared" ca="1" si="74"/>
        <v>43734</v>
      </c>
      <c r="DF3" s="12">
        <f t="shared" ca="1" si="74"/>
        <v>43735</v>
      </c>
      <c r="DG3" s="12">
        <f t="shared" ca="1" si="74"/>
        <v>43736</v>
      </c>
      <c r="DH3" s="12">
        <f t="shared" ca="1" si="74"/>
        <v>43737</v>
      </c>
      <c r="DI3" s="13">
        <f t="shared" ca="1" si="74"/>
        <v>43738</v>
      </c>
    </row>
    <row r="4" spans="1:117" ht="18.5" thickBot="1" x14ac:dyDescent="0.6">
      <c r="A4" s="18" t="s">
        <v>6</v>
      </c>
      <c r="B4" s="18" t="s">
        <v>7</v>
      </c>
      <c r="C4" s="18" t="s">
        <v>8</v>
      </c>
      <c r="D4" s="18" t="s">
        <v>3</v>
      </c>
      <c r="E4" s="18" t="s">
        <v>0</v>
      </c>
      <c r="F4" s="18" t="s">
        <v>1</v>
      </c>
      <c r="G4" s="18" t="s">
        <v>0</v>
      </c>
      <c r="H4" s="18" t="s">
        <v>1</v>
      </c>
      <c r="I4" s="19" t="s">
        <v>13</v>
      </c>
      <c r="J4" s="7" t="s">
        <v>9</v>
      </c>
      <c r="K4" s="18" t="s">
        <v>10</v>
      </c>
      <c r="L4" s="18" t="s">
        <v>11</v>
      </c>
      <c r="M4" s="19" t="s">
        <v>12</v>
      </c>
      <c r="N4" s="19"/>
      <c r="O4" s="20">
        <f ca="1">WEEKDAY(O3,1)</f>
        <v>2</v>
      </c>
      <c r="P4" s="21">
        <f ca="1">WEEKDAY(P3,1)</f>
        <v>3</v>
      </c>
      <c r="Q4" s="21">
        <f t="shared" ref="Q4:X4" ca="1" si="75">WEEKDAY(Q3,1)</f>
        <v>4</v>
      </c>
      <c r="R4" s="21">
        <f t="shared" ca="1" si="75"/>
        <v>5</v>
      </c>
      <c r="S4" s="21">
        <f t="shared" ca="1" si="75"/>
        <v>6</v>
      </c>
      <c r="T4" s="21">
        <f t="shared" ca="1" si="75"/>
        <v>7</v>
      </c>
      <c r="U4" s="21">
        <f t="shared" ca="1" si="75"/>
        <v>1</v>
      </c>
      <c r="V4" s="21">
        <f t="shared" ca="1" si="75"/>
        <v>2</v>
      </c>
      <c r="W4" s="21">
        <f t="shared" ca="1" si="75"/>
        <v>3</v>
      </c>
      <c r="X4" s="21">
        <f t="shared" ca="1" si="75"/>
        <v>4</v>
      </c>
      <c r="Y4" s="21">
        <f t="shared" ref="Y4" ca="1" si="76">WEEKDAY(Y3,1)</f>
        <v>5</v>
      </c>
      <c r="Z4" s="21">
        <f t="shared" ref="Z4" ca="1" si="77">WEEKDAY(Z3,1)</f>
        <v>6</v>
      </c>
      <c r="AA4" s="21">
        <f t="shared" ref="AA4" ca="1" si="78">WEEKDAY(AA3,1)</f>
        <v>7</v>
      </c>
      <c r="AB4" s="21">
        <f t="shared" ref="AB4" ca="1" si="79">WEEKDAY(AB3,1)</f>
        <v>1</v>
      </c>
      <c r="AC4" s="21">
        <f t="shared" ref="AC4" ca="1" si="80">WEEKDAY(AC3,1)</f>
        <v>2</v>
      </c>
      <c r="AD4" s="21">
        <f t="shared" ref="AD4" ca="1" si="81">WEEKDAY(AD3,1)</f>
        <v>3</v>
      </c>
      <c r="AE4" s="21">
        <f t="shared" ref="AE4" ca="1" si="82">WEEKDAY(AE3,1)</f>
        <v>4</v>
      </c>
      <c r="AF4" s="21">
        <f t="shared" ref="AF4" ca="1" si="83">WEEKDAY(AF3,1)</f>
        <v>5</v>
      </c>
      <c r="AG4" s="21">
        <f t="shared" ref="AG4" ca="1" si="84">WEEKDAY(AG3,1)</f>
        <v>6</v>
      </c>
      <c r="AH4" s="21">
        <f t="shared" ref="AH4" ca="1" si="85">WEEKDAY(AH3,1)</f>
        <v>7</v>
      </c>
      <c r="AI4" s="21">
        <f t="shared" ref="AI4" ca="1" si="86">WEEKDAY(AI3,1)</f>
        <v>1</v>
      </c>
      <c r="AJ4" s="21">
        <f t="shared" ref="AJ4" ca="1" si="87">WEEKDAY(AJ3,1)</f>
        <v>2</v>
      </c>
      <c r="AK4" s="21">
        <f t="shared" ref="AK4" ca="1" si="88">WEEKDAY(AK3,1)</f>
        <v>3</v>
      </c>
      <c r="AL4" s="21">
        <f t="shared" ref="AL4" ca="1" si="89">WEEKDAY(AL3,1)</f>
        <v>4</v>
      </c>
      <c r="AM4" s="21">
        <f t="shared" ref="AM4" ca="1" si="90">WEEKDAY(AM3,1)</f>
        <v>5</v>
      </c>
      <c r="AN4" s="21">
        <f t="shared" ref="AN4" ca="1" si="91">WEEKDAY(AN3,1)</f>
        <v>6</v>
      </c>
      <c r="AO4" s="21">
        <f t="shared" ref="AO4" ca="1" si="92">WEEKDAY(AO3,1)</f>
        <v>7</v>
      </c>
      <c r="AP4" s="21">
        <f t="shared" ref="AP4" ca="1" si="93">WEEKDAY(AP3,1)</f>
        <v>1</v>
      </c>
      <c r="AQ4" s="21">
        <f t="shared" ref="AQ4" ca="1" si="94">WEEKDAY(AQ3,1)</f>
        <v>2</v>
      </c>
      <c r="AR4" s="21">
        <f t="shared" ref="AR4" ca="1" si="95">WEEKDAY(AR3,1)</f>
        <v>3</v>
      </c>
      <c r="AS4" s="21">
        <f t="shared" ref="AS4" ca="1" si="96">WEEKDAY(AS3,1)</f>
        <v>4</v>
      </c>
      <c r="AT4" s="21">
        <f t="shared" ref="AT4" ca="1" si="97">WEEKDAY(AT3,1)</f>
        <v>5</v>
      </c>
      <c r="AU4" s="21">
        <f t="shared" ref="AU4" ca="1" si="98">WEEKDAY(AU3,1)</f>
        <v>6</v>
      </c>
      <c r="AV4" s="21">
        <f t="shared" ref="AV4" ca="1" si="99">WEEKDAY(AV3,1)</f>
        <v>7</v>
      </c>
      <c r="AW4" s="21">
        <f t="shared" ref="AW4" ca="1" si="100">WEEKDAY(AW3,1)</f>
        <v>1</v>
      </c>
      <c r="AX4" s="21">
        <f t="shared" ref="AX4" ca="1" si="101">WEEKDAY(AX3,1)</f>
        <v>2</v>
      </c>
      <c r="AY4" s="21">
        <f t="shared" ref="AY4" ca="1" si="102">WEEKDAY(AY3,1)</f>
        <v>3</v>
      </c>
      <c r="AZ4" s="21">
        <f t="shared" ref="AZ4" ca="1" si="103">WEEKDAY(AZ3,1)</f>
        <v>4</v>
      </c>
      <c r="BA4" s="21">
        <f t="shared" ref="BA4" ca="1" si="104">WEEKDAY(BA3,1)</f>
        <v>5</v>
      </c>
      <c r="BB4" s="21">
        <f t="shared" ref="BB4" ca="1" si="105">WEEKDAY(BB3,1)</f>
        <v>6</v>
      </c>
      <c r="BC4" s="21">
        <f t="shared" ref="BC4" ca="1" si="106">WEEKDAY(BC3,1)</f>
        <v>7</v>
      </c>
      <c r="BD4" s="21">
        <f t="shared" ref="BD4" ca="1" si="107">WEEKDAY(BD3,1)</f>
        <v>1</v>
      </c>
      <c r="BE4" s="21">
        <f t="shared" ref="BE4" ca="1" si="108">WEEKDAY(BE3,1)</f>
        <v>2</v>
      </c>
      <c r="BF4" s="21">
        <f t="shared" ref="BF4" ca="1" si="109">WEEKDAY(BF3,1)</f>
        <v>3</v>
      </c>
      <c r="BG4" s="21">
        <f t="shared" ref="BG4" ca="1" si="110">WEEKDAY(BG3,1)</f>
        <v>4</v>
      </c>
      <c r="BH4" s="21">
        <f t="shared" ref="BH4" ca="1" si="111">WEEKDAY(BH3,1)</f>
        <v>5</v>
      </c>
      <c r="BI4" s="21">
        <f t="shared" ref="BI4" ca="1" si="112">WEEKDAY(BI3,1)</f>
        <v>6</v>
      </c>
      <c r="BJ4" s="21">
        <f t="shared" ref="BJ4" ca="1" si="113">WEEKDAY(BJ3,1)</f>
        <v>7</v>
      </c>
      <c r="BK4" s="21">
        <f t="shared" ref="BK4" ca="1" si="114">WEEKDAY(BK3,1)</f>
        <v>1</v>
      </c>
      <c r="BL4" s="21">
        <f t="shared" ref="BL4" ca="1" si="115">WEEKDAY(BL3,1)</f>
        <v>2</v>
      </c>
      <c r="BM4" s="21">
        <f t="shared" ref="BM4" ca="1" si="116">WEEKDAY(BM3,1)</f>
        <v>3</v>
      </c>
      <c r="BN4" s="21">
        <f t="shared" ref="BN4" ca="1" si="117">WEEKDAY(BN3,1)</f>
        <v>4</v>
      </c>
      <c r="BO4" s="21">
        <f t="shared" ref="BO4" ca="1" si="118">WEEKDAY(BO3,1)</f>
        <v>5</v>
      </c>
      <c r="BP4" s="21">
        <f t="shared" ref="BP4" ca="1" si="119">WEEKDAY(BP3,1)</f>
        <v>6</v>
      </c>
      <c r="BQ4" s="21">
        <f t="shared" ref="BQ4" ca="1" si="120">WEEKDAY(BQ3,1)</f>
        <v>7</v>
      </c>
      <c r="BR4" s="21">
        <f t="shared" ref="BR4" ca="1" si="121">WEEKDAY(BR3,1)</f>
        <v>1</v>
      </c>
      <c r="BS4" s="21">
        <f t="shared" ref="BS4" ca="1" si="122">WEEKDAY(BS3,1)</f>
        <v>2</v>
      </c>
      <c r="BT4" s="21">
        <f t="shared" ref="BT4" ca="1" si="123">WEEKDAY(BT3,1)</f>
        <v>3</v>
      </c>
      <c r="BU4" s="21">
        <f t="shared" ref="BU4" ca="1" si="124">WEEKDAY(BU3,1)</f>
        <v>4</v>
      </c>
      <c r="BV4" s="21">
        <f t="shared" ref="BV4" ca="1" si="125">WEEKDAY(BV3,1)</f>
        <v>5</v>
      </c>
      <c r="BW4" s="21">
        <f t="shared" ref="BW4" ca="1" si="126">WEEKDAY(BW3,1)</f>
        <v>6</v>
      </c>
      <c r="BX4" s="21">
        <f t="shared" ref="BX4" ca="1" si="127">WEEKDAY(BX3,1)</f>
        <v>7</v>
      </c>
      <c r="BY4" s="21">
        <f t="shared" ref="BY4" ca="1" si="128">WEEKDAY(BY3,1)</f>
        <v>1</v>
      </c>
      <c r="BZ4" s="21">
        <f t="shared" ref="BZ4" ca="1" si="129">WEEKDAY(BZ3,1)</f>
        <v>2</v>
      </c>
      <c r="CA4" s="21">
        <f t="shared" ref="CA4" ca="1" si="130">WEEKDAY(CA3,1)</f>
        <v>3</v>
      </c>
      <c r="CB4" s="21">
        <f t="shared" ref="CB4" ca="1" si="131">WEEKDAY(CB3,1)</f>
        <v>4</v>
      </c>
      <c r="CC4" s="21">
        <f t="shared" ref="CC4" ca="1" si="132">WEEKDAY(CC3,1)</f>
        <v>5</v>
      </c>
      <c r="CD4" s="21">
        <f t="shared" ref="CD4" ca="1" si="133">WEEKDAY(CD3,1)</f>
        <v>6</v>
      </c>
      <c r="CE4" s="21">
        <f t="shared" ref="CE4" ca="1" si="134">WEEKDAY(CE3,1)</f>
        <v>7</v>
      </c>
      <c r="CF4" s="21">
        <f t="shared" ref="CF4" ca="1" si="135">WEEKDAY(CF3,1)</f>
        <v>1</v>
      </c>
      <c r="CG4" s="21">
        <f t="shared" ref="CG4" ca="1" si="136">WEEKDAY(CG3,1)</f>
        <v>2</v>
      </c>
      <c r="CH4" s="21">
        <f t="shared" ref="CH4" ca="1" si="137">WEEKDAY(CH3,1)</f>
        <v>3</v>
      </c>
      <c r="CI4" s="21">
        <f t="shared" ref="CI4" ca="1" si="138">WEEKDAY(CI3,1)</f>
        <v>4</v>
      </c>
      <c r="CJ4" s="21">
        <f t="shared" ref="CJ4" ca="1" si="139">WEEKDAY(CJ3,1)</f>
        <v>5</v>
      </c>
      <c r="CK4" s="21">
        <f t="shared" ref="CK4" ca="1" si="140">WEEKDAY(CK3,1)</f>
        <v>6</v>
      </c>
      <c r="CL4" s="21">
        <f t="shared" ref="CL4" ca="1" si="141">WEEKDAY(CL3,1)</f>
        <v>7</v>
      </c>
      <c r="CM4" s="21">
        <f t="shared" ref="CM4" ca="1" si="142">WEEKDAY(CM3,1)</f>
        <v>1</v>
      </c>
      <c r="CN4" s="21">
        <f t="shared" ref="CN4" ca="1" si="143">WEEKDAY(CN3,1)</f>
        <v>2</v>
      </c>
      <c r="CO4" s="21">
        <f t="shared" ref="CO4" ca="1" si="144">WEEKDAY(CO3,1)</f>
        <v>3</v>
      </c>
      <c r="CP4" s="21">
        <f t="shared" ref="CP4" ca="1" si="145">WEEKDAY(CP3,1)</f>
        <v>4</v>
      </c>
      <c r="CQ4" s="21">
        <f t="shared" ref="CQ4" ca="1" si="146">WEEKDAY(CQ3,1)</f>
        <v>5</v>
      </c>
      <c r="CR4" s="21">
        <f t="shared" ref="CR4" ca="1" si="147">WEEKDAY(CR3,1)</f>
        <v>6</v>
      </c>
      <c r="CS4" s="21">
        <f t="shared" ref="CS4" ca="1" si="148">WEEKDAY(CS3,1)</f>
        <v>7</v>
      </c>
      <c r="CT4" s="21">
        <f t="shared" ref="CT4" ca="1" si="149">WEEKDAY(CT3,1)</f>
        <v>1</v>
      </c>
      <c r="CU4" s="21">
        <f t="shared" ref="CU4" ca="1" si="150">WEEKDAY(CU3,1)</f>
        <v>2</v>
      </c>
      <c r="CV4" s="21">
        <f t="shared" ref="CV4" ca="1" si="151">WEEKDAY(CV3,1)</f>
        <v>3</v>
      </c>
      <c r="CW4" s="21">
        <f t="shared" ref="CW4" ca="1" si="152">WEEKDAY(CW3,1)</f>
        <v>4</v>
      </c>
      <c r="CX4" s="21">
        <f t="shared" ref="CX4" ca="1" si="153">WEEKDAY(CX3,1)</f>
        <v>5</v>
      </c>
      <c r="CY4" s="21">
        <f t="shared" ref="CY4" ca="1" si="154">WEEKDAY(CY3,1)</f>
        <v>6</v>
      </c>
      <c r="CZ4" s="21">
        <f t="shared" ref="CZ4" ca="1" si="155">WEEKDAY(CZ3,1)</f>
        <v>7</v>
      </c>
      <c r="DA4" s="21">
        <f t="shared" ref="DA4" ca="1" si="156">WEEKDAY(DA3,1)</f>
        <v>1</v>
      </c>
      <c r="DB4" s="21">
        <f t="shared" ref="DB4" ca="1" si="157">WEEKDAY(DB3,1)</f>
        <v>2</v>
      </c>
      <c r="DC4" s="21">
        <f t="shared" ref="DC4" ca="1" si="158">WEEKDAY(DC3,1)</f>
        <v>3</v>
      </c>
      <c r="DD4" s="21">
        <f t="shared" ref="DD4" ca="1" si="159">WEEKDAY(DD3,1)</f>
        <v>4</v>
      </c>
      <c r="DE4" s="21">
        <f t="shared" ref="DE4" ca="1" si="160">WEEKDAY(DE3,1)</f>
        <v>5</v>
      </c>
      <c r="DF4" s="21">
        <f t="shared" ref="DF4" ca="1" si="161">WEEKDAY(DF3,1)</f>
        <v>6</v>
      </c>
      <c r="DG4" s="21">
        <f t="shared" ref="DG4" ca="1" si="162">WEEKDAY(DG3,1)</f>
        <v>7</v>
      </c>
      <c r="DH4" s="21">
        <f t="shared" ref="DH4" ca="1" si="163">WEEKDAY(DH3,1)</f>
        <v>1</v>
      </c>
      <c r="DI4" s="22">
        <f t="shared" ref="DI4" ca="1" si="164">WEEKDAY(DI3,1)</f>
        <v>2</v>
      </c>
    </row>
    <row r="5" spans="1:117" ht="18.5" thickBot="1" x14ac:dyDescent="0.6">
      <c r="A5" s="48" t="s">
        <v>40</v>
      </c>
      <c r="B5" s="39"/>
      <c r="C5" s="40"/>
      <c r="D5" s="41"/>
      <c r="E5" s="42"/>
      <c r="F5" s="42"/>
      <c r="G5" s="42"/>
      <c r="H5" s="42"/>
      <c r="I5" s="41"/>
      <c r="J5" s="38">
        <f t="shared" ref="J5:J36" si="165">F5-E5</f>
        <v>0</v>
      </c>
      <c r="K5" s="3">
        <f t="shared" ref="K5:K36" si="166">H5-G5</f>
        <v>0</v>
      </c>
      <c r="L5" s="3">
        <f t="shared" ref="L5:L36" si="167">G5-E5</f>
        <v>0</v>
      </c>
      <c r="M5" s="3">
        <f t="shared" ref="M5:M36" ca="1" si="168">F5-TODAY()</f>
        <v>-43647</v>
      </c>
      <c r="N5" s="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4"/>
      <c r="DJ5" s="2"/>
      <c r="DK5" s="2"/>
      <c r="DL5" s="2"/>
      <c r="DM5" s="2"/>
    </row>
    <row r="6" spans="1:117" ht="18.5" thickBot="1" x14ac:dyDescent="0.6">
      <c r="A6" s="48"/>
      <c r="B6" s="39" t="s">
        <v>41</v>
      </c>
      <c r="C6" s="40"/>
      <c r="D6" s="41"/>
      <c r="E6" s="42"/>
      <c r="F6" s="42"/>
      <c r="G6" s="42"/>
      <c r="H6" s="42"/>
      <c r="I6" s="41"/>
      <c r="J6" s="38">
        <f t="shared" si="165"/>
        <v>0</v>
      </c>
      <c r="K6" s="3">
        <f t="shared" si="166"/>
        <v>0</v>
      </c>
      <c r="L6" s="3">
        <f t="shared" si="167"/>
        <v>0</v>
      </c>
      <c r="M6" s="3">
        <f t="shared" ca="1" si="168"/>
        <v>-43647</v>
      </c>
      <c r="N6" s="3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6"/>
      <c r="DJ6" s="2"/>
      <c r="DK6" s="2"/>
      <c r="DL6" s="2"/>
      <c r="DM6" s="2"/>
    </row>
    <row r="7" spans="1:117" ht="18.5" thickBot="1" x14ac:dyDescent="0.6">
      <c r="A7" s="48"/>
      <c r="B7" s="39"/>
      <c r="C7" s="40" t="s">
        <v>42</v>
      </c>
      <c r="D7" s="41" t="s">
        <v>43</v>
      </c>
      <c r="E7" s="42">
        <v>43527</v>
      </c>
      <c r="F7" s="42">
        <v>43646</v>
      </c>
      <c r="G7" s="42">
        <v>43646</v>
      </c>
      <c r="H7" s="42">
        <v>43525</v>
      </c>
      <c r="I7" s="41" t="s">
        <v>38</v>
      </c>
      <c r="J7" s="38">
        <f t="shared" si="165"/>
        <v>119</v>
      </c>
      <c r="K7" s="3">
        <f t="shared" si="166"/>
        <v>-121</v>
      </c>
      <c r="L7" s="3">
        <f t="shared" si="167"/>
        <v>119</v>
      </c>
      <c r="M7" s="3">
        <f t="shared" ca="1" si="168"/>
        <v>-1</v>
      </c>
      <c r="N7" s="3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6"/>
      <c r="DJ7" s="2"/>
      <c r="DK7" s="2"/>
      <c r="DL7" s="2"/>
      <c r="DM7" s="2"/>
    </row>
    <row r="8" spans="1:117" ht="18.5" thickBot="1" x14ac:dyDescent="0.6">
      <c r="A8" s="48"/>
      <c r="B8" s="39"/>
      <c r="C8" s="40" t="s">
        <v>44</v>
      </c>
      <c r="D8" s="41" t="s">
        <v>45</v>
      </c>
      <c r="E8" s="42">
        <v>43520</v>
      </c>
      <c r="F8" s="42">
        <v>43528</v>
      </c>
      <c r="G8" s="42">
        <v>43521</v>
      </c>
      <c r="H8" s="42"/>
      <c r="I8" s="41"/>
      <c r="J8" s="38">
        <f t="shared" si="165"/>
        <v>8</v>
      </c>
      <c r="K8" s="3">
        <f t="shared" si="166"/>
        <v>-43521</v>
      </c>
      <c r="L8" s="3">
        <f t="shared" si="167"/>
        <v>1</v>
      </c>
      <c r="M8" s="3">
        <f t="shared" ca="1" si="168"/>
        <v>-119</v>
      </c>
      <c r="N8" s="3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6"/>
      <c r="DJ8" s="2"/>
      <c r="DK8" s="2"/>
      <c r="DL8" s="2"/>
      <c r="DM8" s="2"/>
    </row>
    <row r="9" spans="1:117" ht="18.5" thickBot="1" x14ac:dyDescent="0.6">
      <c r="A9" s="48"/>
      <c r="B9" s="39" t="s">
        <v>46</v>
      </c>
      <c r="C9" s="40"/>
      <c r="D9" s="41"/>
      <c r="E9" s="42"/>
      <c r="F9" s="42"/>
      <c r="G9" s="42"/>
      <c r="H9" s="42"/>
      <c r="I9" s="41"/>
      <c r="J9" s="38">
        <f t="shared" si="165"/>
        <v>0</v>
      </c>
      <c r="K9" s="3">
        <f t="shared" si="166"/>
        <v>0</v>
      </c>
      <c r="L9" s="3">
        <f t="shared" si="167"/>
        <v>0</v>
      </c>
      <c r="M9" s="3">
        <f t="shared" ca="1" si="168"/>
        <v>-43647</v>
      </c>
      <c r="N9" s="3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6"/>
      <c r="DJ9" s="2"/>
      <c r="DK9" s="2"/>
      <c r="DL9" s="2"/>
      <c r="DM9" s="2"/>
    </row>
    <row r="10" spans="1:117" ht="18.5" thickBot="1" x14ac:dyDescent="0.6">
      <c r="A10" s="48"/>
      <c r="B10" s="39"/>
      <c r="C10" s="40" t="s">
        <v>42</v>
      </c>
      <c r="D10" s="41" t="s">
        <v>43</v>
      </c>
      <c r="E10" s="42">
        <v>43520</v>
      </c>
      <c r="F10" s="42">
        <v>43528</v>
      </c>
      <c r="G10" s="42">
        <v>43522</v>
      </c>
      <c r="H10" s="42">
        <v>43526</v>
      </c>
      <c r="I10" s="41" t="s">
        <v>47</v>
      </c>
      <c r="J10" s="38">
        <f t="shared" si="165"/>
        <v>8</v>
      </c>
      <c r="K10" s="3">
        <f t="shared" si="166"/>
        <v>4</v>
      </c>
      <c r="L10" s="3">
        <f t="shared" si="167"/>
        <v>2</v>
      </c>
      <c r="M10" s="3">
        <f t="shared" ca="1" si="168"/>
        <v>-119</v>
      </c>
      <c r="N10" s="3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6"/>
      <c r="DJ10" s="2"/>
      <c r="DK10" s="2"/>
      <c r="DL10" s="2"/>
      <c r="DM10" s="2"/>
    </row>
    <row r="11" spans="1:117" ht="18.5" thickBot="1" x14ac:dyDescent="0.6">
      <c r="A11" s="48"/>
      <c r="B11" s="39"/>
      <c r="C11" s="40" t="s">
        <v>44</v>
      </c>
      <c r="D11" s="41" t="s">
        <v>43</v>
      </c>
      <c r="E11" s="42">
        <v>43520</v>
      </c>
      <c r="F11" s="42">
        <v>43528</v>
      </c>
      <c r="G11" s="42">
        <v>43523</v>
      </c>
      <c r="H11" s="42"/>
      <c r="I11" s="41" t="s">
        <v>47</v>
      </c>
      <c r="J11" s="38">
        <f t="shared" si="165"/>
        <v>8</v>
      </c>
      <c r="K11" s="3">
        <f t="shared" si="166"/>
        <v>-43523</v>
      </c>
      <c r="L11" s="3">
        <f t="shared" si="167"/>
        <v>3</v>
      </c>
      <c r="M11" s="3">
        <f t="shared" ca="1" si="168"/>
        <v>-119</v>
      </c>
      <c r="N11" s="3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6"/>
      <c r="DJ11" s="2"/>
      <c r="DK11" s="2"/>
      <c r="DL11" s="2"/>
      <c r="DM11" s="2"/>
    </row>
    <row r="12" spans="1:117" ht="18.5" thickBot="1" x14ac:dyDescent="0.6">
      <c r="A12" s="48" t="s">
        <v>48</v>
      </c>
      <c r="B12" s="39"/>
      <c r="C12" s="40"/>
      <c r="D12" s="41"/>
      <c r="E12" s="42"/>
      <c r="F12" s="42"/>
      <c r="G12" s="42"/>
      <c r="H12" s="42"/>
      <c r="I12" s="41"/>
      <c r="J12" s="38">
        <f t="shared" si="165"/>
        <v>0</v>
      </c>
      <c r="K12" s="3">
        <f t="shared" si="166"/>
        <v>0</v>
      </c>
      <c r="L12" s="3">
        <f t="shared" si="167"/>
        <v>0</v>
      </c>
      <c r="M12" s="3">
        <f t="shared" ca="1" si="168"/>
        <v>-43647</v>
      </c>
      <c r="N12" s="3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6"/>
      <c r="DJ12" s="2"/>
      <c r="DK12" s="2"/>
      <c r="DL12" s="2"/>
      <c r="DM12" s="2"/>
    </row>
    <row r="13" spans="1:117" ht="18.5" thickBot="1" x14ac:dyDescent="0.6">
      <c r="A13" s="48"/>
      <c r="B13" s="39" t="s">
        <v>49</v>
      </c>
      <c r="C13" s="40"/>
      <c r="D13" s="41"/>
      <c r="E13" s="42"/>
      <c r="F13" s="42"/>
      <c r="G13" s="42"/>
      <c r="H13" s="42"/>
      <c r="I13" s="41"/>
      <c r="J13" s="38">
        <f t="shared" si="165"/>
        <v>0</v>
      </c>
      <c r="K13" s="3">
        <f t="shared" si="166"/>
        <v>0</v>
      </c>
      <c r="L13" s="3">
        <f t="shared" si="167"/>
        <v>0</v>
      </c>
      <c r="M13" s="3">
        <f t="shared" ca="1" si="168"/>
        <v>-43647</v>
      </c>
      <c r="N13" s="3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6"/>
      <c r="DJ13" s="2"/>
      <c r="DK13" s="2"/>
      <c r="DL13" s="2"/>
      <c r="DM13" s="2"/>
    </row>
    <row r="14" spans="1:117" ht="18.5" thickBot="1" x14ac:dyDescent="0.6">
      <c r="A14" s="48"/>
      <c r="B14" s="39"/>
      <c r="C14" s="40" t="s">
        <v>42</v>
      </c>
      <c r="D14" s="41" t="s">
        <v>43</v>
      </c>
      <c r="E14" s="42">
        <v>43520</v>
      </c>
      <c r="F14" s="42">
        <v>43528</v>
      </c>
      <c r="G14" s="42"/>
      <c r="H14" s="42">
        <v>43531</v>
      </c>
      <c r="I14" s="41" t="s">
        <v>38</v>
      </c>
      <c r="J14" s="38">
        <f t="shared" si="165"/>
        <v>8</v>
      </c>
      <c r="K14" s="3">
        <f t="shared" si="166"/>
        <v>43531</v>
      </c>
      <c r="L14" s="3">
        <f t="shared" si="167"/>
        <v>-43520</v>
      </c>
      <c r="M14" s="3">
        <f t="shared" ca="1" si="168"/>
        <v>-119</v>
      </c>
      <c r="N14" s="3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6"/>
      <c r="DJ14" s="2"/>
      <c r="DK14" s="2"/>
      <c r="DL14" s="2"/>
      <c r="DM14" s="2"/>
    </row>
    <row r="15" spans="1:117" ht="18.5" thickBot="1" x14ac:dyDescent="0.6">
      <c r="A15" s="48"/>
      <c r="B15" s="39"/>
      <c r="C15" s="40" t="s">
        <v>44</v>
      </c>
      <c r="D15" s="41" t="s">
        <v>45</v>
      </c>
      <c r="E15" s="42">
        <v>43485</v>
      </c>
      <c r="F15" s="42">
        <v>43530</v>
      </c>
      <c r="G15" s="42">
        <v>43524</v>
      </c>
      <c r="H15" s="42"/>
      <c r="I15" s="41"/>
      <c r="J15" s="38">
        <f t="shared" si="165"/>
        <v>45</v>
      </c>
      <c r="K15" s="3">
        <f t="shared" si="166"/>
        <v>-43524</v>
      </c>
      <c r="L15" s="3">
        <f t="shared" si="167"/>
        <v>39</v>
      </c>
      <c r="M15" s="3">
        <f t="shared" ca="1" si="168"/>
        <v>-117</v>
      </c>
      <c r="N15" s="3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6"/>
      <c r="DJ15" s="2"/>
      <c r="DK15" s="2"/>
      <c r="DL15" s="2"/>
      <c r="DM15" s="2"/>
    </row>
    <row r="16" spans="1:117" ht="18.5" thickBot="1" x14ac:dyDescent="0.6">
      <c r="A16" s="48"/>
      <c r="B16" s="39" t="s">
        <v>50</v>
      </c>
      <c r="C16" s="40"/>
      <c r="D16" s="41"/>
      <c r="E16" s="42"/>
      <c r="F16" s="42"/>
      <c r="G16" s="42"/>
      <c r="H16" s="42"/>
      <c r="I16" s="41"/>
      <c r="J16" s="38">
        <f t="shared" si="165"/>
        <v>0</v>
      </c>
      <c r="K16" s="3">
        <f t="shared" si="166"/>
        <v>0</v>
      </c>
      <c r="L16" s="3">
        <f t="shared" si="167"/>
        <v>0</v>
      </c>
      <c r="M16" s="3">
        <f t="shared" ca="1" si="168"/>
        <v>-43647</v>
      </c>
      <c r="N16" s="3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6"/>
      <c r="DJ16" s="2"/>
      <c r="DK16" s="2"/>
      <c r="DL16" s="2"/>
      <c r="DM16" s="2"/>
    </row>
    <row r="17" spans="1:117" ht="18.5" thickBot="1" x14ac:dyDescent="0.6">
      <c r="A17" s="48"/>
      <c r="B17" s="39"/>
      <c r="C17" s="40" t="s">
        <v>42</v>
      </c>
      <c r="D17" s="41" t="s">
        <v>43</v>
      </c>
      <c r="E17" s="42">
        <v>43520</v>
      </c>
      <c r="F17" s="42">
        <v>43528</v>
      </c>
      <c r="G17" s="42">
        <v>43520</v>
      </c>
      <c r="H17" s="42"/>
      <c r="I17" s="41" t="s">
        <v>47</v>
      </c>
      <c r="J17" s="38">
        <f t="shared" si="165"/>
        <v>8</v>
      </c>
      <c r="K17" s="3">
        <f t="shared" si="166"/>
        <v>-43520</v>
      </c>
      <c r="L17" s="3">
        <f t="shared" si="167"/>
        <v>0</v>
      </c>
      <c r="M17" s="3">
        <f t="shared" ca="1" si="168"/>
        <v>-119</v>
      </c>
      <c r="N17" s="3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6"/>
      <c r="DJ17" s="2"/>
      <c r="DK17" s="2"/>
      <c r="DL17" s="2"/>
      <c r="DM17" s="2"/>
    </row>
    <row r="18" spans="1:117" ht="18.5" thickBot="1" x14ac:dyDescent="0.6">
      <c r="A18" s="48"/>
      <c r="B18" s="39"/>
      <c r="C18" s="40" t="s">
        <v>44</v>
      </c>
      <c r="D18" s="41" t="s">
        <v>43</v>
      </c>
      <c r="E18" s="42">
        <v>43528</v>
      </c>
      <c r="F18" s="42">
        <v>43532</v>
      </c>
      <c r="G18" s="42"/>
      <c r="H18" s="42"/>
      <c r="I18" s="41" t="s">
        <v>47</v>
      </c>
      <c r="J18" s="38">
        <f t="shared" si="165"/>
        <v>4</v>
      </c>
      <c r="K18" s="3">
        <f t="shared" si="166"/>
        <v>0</v>
      </c>
      <c r="L18" s="3">
        <f t="shared" si="167"/>
        <v>-43528</v>
      </c>
      <c r="M18" s="3">
        <f t="shared" ca="1" si="168"/>
        <v>-115</v>
      </c>
      <c r="N18" s="3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6"/>
      <c r="DJ18" s="2"/>
      <c r="DK18" s="2"/>
      <c r="DL18" s="2"/>
      <c r="DM18" s="2"/>
    </row>
    <row r="19" spans="1:117" ht="18.5" thickBot="1" x14ac:dyDescent="0.6">
      <c r="A19" s="48"/>
      <c r="B19" s="39"/>
      <c r="C19" s="40"/>
      <c r="D19" s="41"/>
      <c r="E19" s="42"/>
      <c r="F19" s="42"/>
      <c r="G19" s="42"/>
      <c r="H19" s="42"/>
      <c r="I19" s="41"/>
      <c r="J19" s="38">
        <f t="shared" si="165"/>
        <v>0</v>
      </c>
      <c r="K19" s="3">
        <f t="shared" si="166"/>
        <v>0</v>
      </c>
      <c r="L19" s="3">
        <f t="shared" si="167"/>
        <v>0</v>
      </c>
      <c r="M19" s="3">
        <f t="shared" ca="1" si="168"/>
        <v>-43647</v>
      </c>
      <c r="N19" s="3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6"/>
      <c r="DJ19" s="2"/>
      <c r="DK19" s="2"/>
      <c r="DL19" s="2"/>
      <c r="DM19" s="2"/>
    </row>
    <row r="20" spans="1:117" ht="18.5" thickBot="1" x14ac:dyDescent="0.6">
      <c r="A20" s="48"/>
      <c r="B20" s="39"/>
      <c r="C20" s="40"/>
      <c r="D20" s="41"/>
      <c r="E20" s="42"/>
      <c r="F20" s="42"/>
      <c r="G20" s="42"/>
      <c r="H20" s="42"/>
      <c r="I20" s="41"/>
      <c r="J20" s="38">
        <f t="shared" si="165"/>
        <v>0</v>
      </c>
      <c r="K20" s="3">
        <f t="shared" si="166"/>
        <v>0</v>
      </c>
      <c r="L20" s="3">
        <f t="shared" si="167"/>
        <v>0</v>
      </c>
      <c r="M20" s="3">
        <f t="shared" ca="1" si="168"/>
        <v>-43647</v>
      </c>
      <c r="N20" s="3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6"/>
      <c r="DJ20" s="2"/>
      <c r="DK20" s="2"/>
      <c r="DL20" s="2"/>
      <c r="DM20" s="2"/>
    </row>
    <row r="21" spans="1:117" ht="18.5" thickBot="1" x14ac:dyDescent="0.6">
      <c r="A21" s="48"/>
      <c r="B21" s="39"/>
      <c r="C21" s="40"/>
      <c r="D21" s="41"/>
      <c r="E21" s="42"/>
      <c r="F21" s="42"/>
      <c r="G21" s="42"/>
      <c r="H21" s="42"/>
      <c r="I21" s="41"/>
      <c r="J21" s="38">
        <f t="shared" si="165"/>
        <v>0</v>
      </c>
      <c r="K21" s="3">
        <f t="shared" si="166"/>
        <v>0</v>
      </c>
      <c r="L21" s="3">
        <f t="shared" si="167"/>
        <v>0</v>
      </c>
      <c r="M21" s="3">
        <f t="shared" ca="1" si="168"/>
        <v>-43647</v>
      </c>
      <c r="N21" s="3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25"/>
      <c r="DH21" s="25"/>
      <c r="DI21" s="26"/>
      <c r="DJ21" s="2"/>
      <c r="DK21" s="2"/>
      <c r="DL21" s="2"/>
      <c r="DM21" s="2"/>
    </row>
    <row r="22" spans="1:117" ht="18.5" thickBot="1" x14ac:dyDescent="0.6">
      <c r="A22" s="48"/>
      <c r="B22" s="39"/>
      <c r="C22" s="40"/>
      <c r="D22" s="41"/>
      <c r="E22" s="42"/>
      <c r="F22" s="42"/>
      <c r="G22" s="42"/>
      <c r="H22" s="42"/>
      <c r="I22" s="41"/>
      <c r="J22" s="38">
        <f t="shared" si="165"/>
        <v>0</v>
      </c>
      <c r="K22" s="3">
        <f t="shared" si="166"/>
        <v>0</v>
      </c>
      <c r="L22" s="3">
        <f t="shared" si="167"/>
        <v>0</v>
      </c>
      <c r="M22" s="3">
        <f t="shared" ca="1" si="168"/>
        <v>-43647</v>
      </c>
      <c r="N22" s="3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5"/>
      <c r="CP22" s="25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6"/>
      <c r="DJ22" s="2"/>
      <c r="DK22" s="2"/>
      <c r="DL22" s="2"/>
      <c r="DM22" s="2"/>
    </row>
    <row r="23" spans="1:117" ht="18.5" thickBot="1" x14ac:dyDescent="0.6">
      <c r="A23" s="48"/>
      <c r="B23" s="39"/>
      <c r="C23" s="40"/>
      <c r="D23" s="41"/>
      <c r="E23" s="42"/>
      <c r="F23" s="42"/>
      <c r="G23" s="42"/>
      <c r="H23" s="42"/>
      <c r="I23" s="41"/>
      <c r="J23" s="38">
        <f t="shared" si="165"/>
        <v>0</v>
      </c>
      <c r="K23" s="3">
        <f t="shared" si="166"/>
        <v>0</v>
      </c>
      <c r="L23" s="3">
        <f t="shared" si="167"/>
        <v>0</v>
      </c>
      <c r="M23" s="3">
        <f t="shared" ca="1" si="168"/>
        <v>-43647</v>
      </c>
      <c r="N23" s="3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6"/>
      <c r="DJ23" s="2"/>
      <c r="DK23" s="2"/>
      <c r="DL23" s="2"/>
      <c r="DM23" s="2"/>
    </row>
    <row r="24" spans="1:117" ht="18.5" thickBot="1" x14ac:dyDescent="0.6">
      <c r="A24" s="48"/>
      <c r="B24" s="39"/>
      <c r="C24" s="40"/>
      <c r="D24" s="41"/>
      <c r="E24" s="42"/>
      <c r="F24" s="42"/>
      <c r="G24" s="42"/>
      <c r="H24" s="42"/>
      <c r="I24" s="41"/>
      <c r="J24" s="38">
        <f t="shared" si="165"/>
        <v>0</v>
      </c>
      <c r="K24" s="3">
        <f t="shared" si="166"/>
        <v>0</v>
      </c>
      <c r="L24" s="3">
        <f t="shared" si="167"/>
        <v>0</v>
      </c>
      <c r="M24" s="3">
        <f t="shared" ca="1" si="168"/>
        <v>-43647</v>
      </c>
      <c r="N24" s="3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6"/>
      <c r="DJ24" s="2"/>
      <c r="DK24" s="2"/>
      <c r="DL24" s="2"/>
      <c r="DM24" s="2"/>
    </row>
    <row r="25" spans="1:117" ht="18.5" thickBot="1" x14ac:dyDescent="0.6">
      <c r="A25" s="48"/>
      <c r="B25" s="39"/>
      <c r="C25" s="40"/>
      <c r="D25" s="41"/>
      <c r="E25" s="42"/>
      <c r="F25" s="42"/>
      <c r="G25" s="42"/>
      <c r="H25" s="42"/>
      <c r="I25" s="41"/>
      <c r="J25" s="38">
        <f t="shared" si="165"/>
        <v>0</v>
      </c>
      <c r="K25" s="3">
        <f t="shared" si="166"/>
        <v>0</v>
      </c>
      <c r="L25" s="3">
        <f t="shared" si="167"/>
        <v>0</v>
      </c>
      <c r="M25" s="3">
        <f t="shared" ca="1" si="168"/>
        <v>-43647</v>
      </c>
      <c r="N25" s="3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  <c r="CW25" s="25"/>
      <c r="CX25" s="25"/>
      <c r="CY25" s="25"/>
      <c r="CZ25" s="25"/>
      <c r="DA25" s="25"/>
      <c r="DB25" s="25"/>
      <c r="DC25" s="25"/>
      <c r="DD25" s="25"/>
      <c r="DE25" s="25"/>
      <c r="DF25" s="25"/>
      <c r="DG25" s="25"/>
      <c r="DH25" s="25"/>
      <c r="DI25" s="26"/>
      <c r="DJ25" s="2"/>
      <c r="DK25" s="2"/>
      <c r="DL25" s="2"/>
      <c r="DM25" s="2"/>
    </row>
    <row r="26" spans="1:117" ht="18.5" thickBot="1" x14ac:dyDescent="0.6">
      <c r="A26" s="48"/>
      <c r="B26" s="39"/>
      <c r="C26" s="40"/>
      <c r="D26" s="41"/>
      <c r="E26" s="42"/>
      <c r="F26" s="42"/>
      <c r="G26" s="42"/>
      <c r="H26" s="42"/>
      <c r="I26" s="41"/>
      <c r="J26" s="38">
        <f t="shared" si="165"/>
        <v>0</v>
      </c>
      <c r="K26" s="3">
        <f t="shared" si="166"/>
        <v>0</v>
      </c>
      <c r="L26" s="3">
        <f t="shared" si="167"/>
        <v>0</v>
      </c>
      <c r="M26" s="3">
        <f t="shared" ca="1" si="168"/>
        <v>-43647</v>
      </c>
      <c r="N26" s="3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25"/>
      <c r="DH26" s="25"/>
      <c r="DI26" s="26"/>
      <c r="DJ26" s="2"/>
      <c r="DK26" s="2"/>
      <c r="DL26" s="2"/>
      <c r="DM26" s="2"/>
    </row>
    <row r="27" spans="1:117" ht="18.5" thickBot="1" x14ac:dyDescent="0.6">
      <c r="A27" s="48"/>
      <c r="B27" s="39"/>
      <c r="C27" s="40"/>
      <c r="D27" s="41"/>
      <c r="E27" s="42"/>
      <c r="F27" s="42"/>
      <c r="G27" s="42"/>
      <c r="H27" s="42"/>
      <c r="I27" s="41"/>
      <c r="J27" s="38">
        <f t="shared" si="165"/>
        <v>0</v>
      </c>
      <c r="K27" s="3">
        <f t="shared" si="166"/>
        <v>0</v>
      </c>
      <c r="L27" s="3">
        <f t="shared" si="167"/>
        <v>0</v>
      </c>
      <c r="M27" s="3">
        <f t="shared" ca="1" si="168"/>
        <v>-43647</v>
      </c>
      <c r="N27" s="3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25"/>
      <c r="DH27" s="25"/>
      <c r="DI27" s="26"/>
      <c r="DJ27" s="2"/>
      <c r="DK27" s="2"/>
      <c r="DL27" s="2"/>
      <c r="DM27" s="2"/>
    </row>
    <row r="28" spans="1:117" ht="18.5" thickBot="1" x14ac:dyDescent="0.6">
      <c r="A28" s="48"/>
      <c r="B28" s="39"/>
      <c r="C28" s="40"/>
      <c r="D28" s="41"/>
      <c r="E28" s="42"/>
      <c r="F28" s="42"/>
      <c r="G28" s="42"/>
      <c r="H28" s="42"/>
      <c r="I28" s="41"/>
      <c r="J28" s="38">
        <f t="shared" si="165"/>
        <v>0</v>
      </c>
      <c r="K28" s="3">
        <f t="shared" si="166"/>
        <v>0</v>
      </c>
      <c r="L28" s="3">
        <f t="shared" si="167"/>
        <v>0</v>
      </c>
      <c r="M28" s="3">
        <f t="shared" ca="1" si="168"/>
        <v>-43647</v>
      </c>
      <c r="N28" s="3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6"/>
      <c r="DJ28" s="2"/>
      <c r="DK28" s="2"/>
      <c r="DL28" s="2"/>
      <c r="DM28" s="2"/>
    </row>
    <row r="29" spans="1:117" ht="18.5" thickBot="1" x14ac:dyDescent="0.6">
      <c r="A29" s="48"/>
      <c r="B29" s="39"/>
      <c r="C29" s="40"/>
      <c r="D29" s="41"/>
      <c r="E29" s="42"/>
      <c r="F29" s="42"/>
      <c r="G29" s="42"/>
      <c r="H29" s="42"/>
      <c r="I29" s="41"/>
      <c r="J29" s="38">
        <f t="shared" si="165"/>
        <v>0</v>
      </c>
      <c r="K29" s="3">
        <f t="shared" si="166"/>
        <v>0</v>
      </c>
      <c r="L29" s="3">
        <f t="shared" si="167"/>
        <v>0</v>
      </c>
      <c r="M29" s="3">
        <f t="shared" ca="1" si="168"/>
        <v>-43647</v>
      </c>
      <c r="N29" s="3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6"/>
      <c r="DJ29" s="2"/>
      <c r="DK29" s="2"/>
      <c r="DL29" s="2"/>
      <c r="DM29" s="2"/>
    </row>
    <row r="30" spans="1:117" ht="18.5" thickBot="1" x14ac:dyDescent="0.6">
      <c r="A30" s="48"/>
      <c r="B30" s="39"/>
      <c r="C30" s="40"/>
      <c r="D30" s="41"/>
      <c r="E30" s="42"/>
      <c r="F30" s="42"/>
      <c r="G30" s="42"/>
      <c r="H30" s="42"/>
      <c r="I30" s="41"/>
      <c r="J30" s="38">
        <f t="shared" si="165"/>
        <v>0</v>
      </c>
      <c r="K30" s="3">
        <f t="shared" si="166"/>
        <v>0</v>
      </c>
      <c r="L30" s="3">
        <f t="shared" si="167"/>
        <v>0</v>
      </c>
      <c r="M30" s="3">
        <f t="shared" ca="1" si="168"/>
        <v>-43647</v>
      </c>
      <c r="N30" s="3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6"/>
      <c r="DJ30" s="2"/>
      <c r="DK30" s="2"/>
      <c r="DL30" s="2"/>
      <c r="DM30" s="2"/>
    </row>
    <row r="31" spans="1:117" ht="18.5" thickBot="1" x14ac:dyDescent="0.6">
      <c r="A31" s="48"/>
      <c r="B31" s="39"/>
      <c r="C31" s="40"/>
      <c r="D31" s="41"/>
      <c r="E31" s="42"/>
      <c r="F31" s="42"/>
      <c r="G31" s="42"/>
      <c r="H31" s="42"/>
      <c r="I31" s="41"/>
      <c r="J31" s="38">
        <f t="shared" si="165"/>
        <v>0</v>
      </c>
      <c r="K31" s="3">
        <f t="shared" si="166"/>
        <v>0</v>
      </c>
      <c r="L31" s="3">
        <f t="shared" si="167"/>
        <v>0</v>
      </c>
      <c r="M31" s="3">
        <f t="shared" ca="1" si="168"/>
        <v>-43647</v>
      </c>
      <c r="N31" s="3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6"/>
      <c r="DJ31" s="2"/>
      <c r="DK31" s="2"/>
      <c r="DL31" s="2"/>
      <c r="DM31" s="2"/>
    </row>
    <row r="32" spans="1:117" ht="18.5" thickBot="1" x14ac:dyDescent="0.6">
      <c r="A32" s="48"/>
      <c r="B32" s="39"/>
      <c r="C32" s="40"/>
      <c r="D32" s="41"/>
      <c r="E32" s="42"/>
      <c r="F32" s="42"/>
      <c r="G32" s="42"/>
      <c r="H32" s="42"/>
      <c r="I32" s="41"/>
      <c r="J32" s="38">
        <f t="shared" si="165"/>
        <v>0</v>
      </c>
      <c r="K32" s="3">
        <f t="shared" si="166"/>
        <v>0</v>
      </c>
      <c r="L32" s="3">
        <f t="shared" si="167"/>
        <v>0</v>
      </c>
      <c r="M32" s="3">
        <f t="shared" ca="1" si="168"/>
        <v>-43647</v>
      </c>
      <c r="N32" s="3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6"/>
      <c r="DJ32" s="2"/>
      <c r="DK32" s="2"/>
      <c r="DL32" s="2"/>
      <c r="DM32" s="2"/>
    </row>
    <row r="33" spans="1:117" ht="18.5" thickBot="1" x14ac:dyDescent="0.6">
      <c r="A33" s="48"/>
      <c r="B33" s="39"/>
      <c r="C33" s="40"/>
      <c r="D33" s="43"/>
      <c r="E33" s="42"/>
      <c r="F33" s="42"/>
      <c r="G33" s="42"/>
      <c r="H33" s="42"/>
      <c r="I33" s="41"/>
      <c r="J33" s="38">
        <f t="shared" si="165"/>
        <v>0</v>
      </c>
      <c r="K33" s="3">
        <f t="shared" si="166"/>
        <v>0</v>
      </c>
      <c r="L33" s="3">
        <f t="shared" si="167"/>
        <v>0</v>
      </c>
      <c r="M33" s="3">
        <f t="shared" ca="1" si="168"/>
        <v>-43647</v>
      </c>
      <c r="N33" s="3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6"/>
      <c r="DJ33" s="2"/>
      <c r="DK33" s="2"/>
      <c r="DL33" s="2"/>
      <c r="DM33" s="2"/>
    </row>
    <row r="34" spans="1:117" ht="18.5" thickBot="1" x14ac:dyDescent="0.6">
      <c r="A34" s="48"/>
      <c r="B34" s="39"/>
      <c r="C34" s="40"/>
      <c r="D34" s="41"/>
      <c r="E34" s="42"/>
      <c r="F34" s="42"/>
      <c r="G34" s="42"/>
      <c r="H34" s="42"/>
      <c r="I34" s="41"/>
      <c r="J34" s="38">
        <f t="shared" si="165"/>
        <v>0</v>
      </c>
      <c r="K34" s="3">
        <f t="shared" si="166"/>
        <v>0</v>
      </c>
      <c r="L34" s="3">
        <f t="shared" si="167"/>
        <v>0</v>
      </c>
      <c r="M34" s="3">
        <f t="shared" ca="1" si="168"/>
        <v>-43647</v>
      </c>
      <c r="N34" s="3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6"/>
      <c r="DJ34" s="2"/>
      <c r="DK34" s="2"/>
      <c r="DL34" s="2"/>
      <c r="DM34" s="2"/>
    </row>
    <row r="35" spans="1:117" ht="18.5" thickBot="1" x14ac:dyDescent="0.6">
      <c r="A35" s="48"/>
      <c r="B35" s="39"/>
      <c r="C35" s="40"/>
      <c r="D35" s="41"/>
      <c r="E35" s="42"/>
      <c r="F35" s="42"/>
      <c r="G35" s="42"/>
      <c r="H35" s="42"/>
      <c r="I35" s="41"/>
      <c r="J35" s="38">
        <f t="shared" si="165"/>
        <v>0</v>
      </c>
      <c r="K35" s="3">
        <f t="shared" si="166"/>
        <v>0</v>
      </c>
      <c r="L35" s="3">
        <f t="shared" si="167"/>
        <v>0</v>
      </c>
      <c r="M35" s="3">
        <f t="shared" ca="1" si="168"/>
        <v>-43647</v>
      </c>
      <c r="N35" s="3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6"/>
      <c r="DJ35" s="2"/>
      <c r="DK35" s="2"/>
      <c r="DL35" s="2"/>
      <c r="DM35" s="2"/>
    </row>
    <row r="36" spans="1:117" ht="18.5" thickBot="1" x14ac:dyDescent="0.6">
      <c r="A36" s="48"/>
      <c r="B36" s="39"/>
      <c r="C36" s="40"/>
      <c r="D36" s="41"/>
      <c r="E36" s="42"/>
      <c r="F36" s="42"/>
      <c r="G36" s="42"/>
      <c r="H36" s="42"/>
      <c r="I36" s="41"/>
      <c r="J36" s="38">
        <f t="shared" si="165"/>
        <v>0</v>
      </c>
      <c r="K36" s="3">
        <f t="shared" si="166"/>
        <v>0</v>
      </c>
      <c r="L36" s="3">
        <f t="shared" si="167"/>
        <v>0</v>
      </c>
      <c r="M36" s="3">
        <f t="shared" ca="1" si="168"/>
        <v>-43647</v>
      </c>
      <c r="N36" s="3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6"/>
      <c r="DJ36" s="2"/>
      <c r="DK36" s="2"/>
      <c r="DL36" s="2"/>
      <c r="DM36" s="2"/>
    </row>
    <row r="37" spans="1:117" ht="18.5" thickBot="1" x14ac:dyDescent="0.6">
      <c r="A37" s="48"/>
      <c r="B37" s="39"/>
      <c r="C37" s="40"/>
      <c r="D37" s="41"/>
      <c r="E37" s="42"/>
      <c r="F37" s="42"/>
      <c r="G37" s="42"/>
      <c r="H37" s="42"/>
      <c r="I37" s="41"/>
      <c r="J37" s="38">
        <f t="shared" ref="J37:J68" si="169">F37-E37</f>
        <v>0</v>
      </c>
      <c r="K37" s="3">
        <f t="shared" ref="K37:K68" si="170">H37-G37</f>
        <v>0</v>
      </c>
      <c r="L37" s="3">
        <f t="shared" ref="L37:L68" si="171">G37-E37</f>
        <v>0</v>
      </c>
      <c r="M37" s="3">
        <f t="shared" ref="M37:M68" ca="1" si="172">F37-TODAY()</f>
        <v>-43647</v>
      </c>
      <c r="N37" s="3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6"/>
      <c r="DJ37" s="2"/>
      <c r="DK37" s="2"/>
      <c r="DL37" s="2"/>
      <c r="DM37" s="2"/>
    </row>
    <row r="38" spans="1:117" ht="18.5" thickBot="1" x14ac:dyDescent="0.6">
      <c r="A38" s="48"/>
      <c r="B38" s="39"/>
      <c r="C38" s="40"/>
      <c r="D38" s="41"/>
      <c r="E38" s="42"/>
      <c r="F38" s="42"/>
      <c r="G38" s="42"/>
      <c r="H38" s="42"/>
      <c r="I38" s="41"/>
      <c r="J38" s="38">
        <f t="shared" si="169"/>
        <v>0</v>
      </c>
      <c r="K38" s="3">
        <f t="shared" si="170"/>
        <v>0</v>
      </c>
      <c r="L38" s="3">
        <f t="shared" si="171"/>
        <v>0</v>
      </c>
      <c r="M38" s="3">
        <f t="shared" ca="1" si="172"/>
        <v>-43647</v>
      </c>
      <c r="N38" s="3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6"/>
      <c r="DJ38" s="2"/>
      <c r="DK38" s="2"/>
      <c r="DL38" s="2"/>
      <c r="DM38" s="2"/>
    </row>
    <row r="39" spans="1:117" ht="18.5" thickBot="1" x14ac:dyDescent="0.6">
      <c r="A39" s="48"/>
      <c r="B39" s="39"/>
      <c r="C39" s="40"/>
      <c r="D39" s="41"/>
      <c r="E39" s="42"/>
      <c r="F39" s="42"/>
      <c r="G39" s="42"/>
      <c r="H39" s="42"/>
      <c r="I39" s="41"/>
      <c r="J39" s="38">
        <f t="shared" si="169"/>
        <v>0</v>
      </c>
      <c r="K39" s="3">
        <f t="shared" si="170"/>
        <v>0</v>
      </c>
      <c r="L39" s="3">
        <f t="shared" si="171"/>
        <v>0</v>
      </c>
      <c r="M39" s="3">
        <f t="shared" ca="1" si="172"/>
        <v>-43647</v>
      </c>
      <c r="N39" s="3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6"/>
      <c r="DJ39" s="2"/>
      <c r="DK39" s="2"/>
      <c r="DL39" s="2"/>
      <c r="DM39" s="2"/>
    </row>
    <row r="40" spans="1:117" ht="18.5" thickBot="1" x14ac:dyDescent="0.6">
      <c r="A40" s="48"/>
      <c r="B40" s="39"/>
      <c r="C40" s="40"/>
      <c r="D40" s="41"/>
      <c r="E40" s="42"/>
      <c r="F40" s="42"/>
      <c r="G40" s="42"/>
      <c r="H40" s="42"/>
      <c r="I40" s="41"/>
      <c r="J40" s="38">
        <f t="shared" si="169"/>
        <v>0</v>
      </c>
      <c r="K40" s="3">
        <f t="shared" si="170"/>
        <v>0</v>
      </c>
      <c r="L40" s="3">
        <f t="shared" si="171"/>
        <v>0</v>
      </c>
      <c r="M40" s="3">
        <f t="shared" ca="1" si="172"/>
        <v>-43647</v>
      </c>
      <c r="N40" s="3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6"/>
      <c r="DJ40" s="2"/>
      <c r="DK40" s="2"/>
      <c r="DL40" s="2"/>
      <c r="DM40" s="2"/>
    </row>
    <row r="41" spans="1:117" ht="18.5" thickBot="1" x14ac:dyDescent="0.6">
      <c r="A41" s="48"/>
      <c r="B41" s="39"/>
      <c r="C41" s="40"/>
      <c r="D41" s="41"/>
      <c r="E41" s="42"/>
      <c r="F41" s="42"/>
      <c r="G41" s="42"/>
      <c r="H41" s="42"/>
      <c r="I41" s="41"/>
      <c r="J41" s="38">
        <f t="shared" si="169"/>
        <v>0</v>
      </c>
      <c r="K41" s="3">
        <f t="shared" si="170"/>
        <v>0</v>
      </c>
      <c r="L41" s="3">
        <f t="shared" si="171"/>
        <v>0</v>
      </c>
      <c r="M41" s="3">
        <f t="shared" ca="1" si="172"/>
        <v>-43647</v>
      </c>
      <c r="N41" s="3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6"/>
      <c r="DJ41" s="2"/>
      <c r="DK41" s="2"/>
      <c r="DL41" s="2"/>
      <c r="DM41" s="2"/>
    </row>
    <row r="42" spans="1:117" ht="18.5" thickBot="1" x14ac:dyDescent="0.6">
      <c r="A42" s="48"/>
      <c r="B42" s="39"/>
      <c r="C42" s="40"/>
      <c r="D42" s="41"/>
      <c r="E42" s="42"/>
      <c r="F42" s="42"/>
      <c r="G42" s="42"/>
      <c r="H42" s="42"/>
      <c r="I42" s="41"/>
      <c r="J42" s="38">
        <f t="shared" si="169"/>
        <v>0</v>
      </c>
      <c r="K42" s="3">
        <f t="shared" si="170"/>
        <v>0</v>
      </c>
      <c r="L42" s="3">
        <f t="shared" si="171"/>
        <v>0</v>
      </c>
      <c r="M42" s="3">
        <f t="shared" ca="1" si="172"/>
        <v>-43647</v>
      </c>
      <c r="N42" s="3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6"/>
      <c r="DJ42" s="2"/>
      <c r="DK42" s="2"/>
      <c r="DL42" s="2"/>
      <c r="DM42" s="2"/>
    </row>
    <row r="43" spans="1:117" ht="18.5" thickBot="1" x14ac:dyDescent="0.6">
      <c r="A43" s="48"/>
      <c r="B43" s="39"/>
      <c r="C43" s="40"/>
      <c r="D43" s="41"/>
      <c r="E43" s="42"/>
      <c r="F43" s="42"/>
      <c r="G43" s="42"/>
      <c r="H43" s="42"/>
      <c r="I43" s="41"/>
      <c r="J43" s="38">
        <f t="shared" si="169"/>
        <v>0</v>
      </c>
      <c r="K43" s="3">
        <f t="shared" si="170"/>
        <v>0</v>
      </c>
      <c r="L43" s="3">
        <f t="shared" si="171"/>
        <v>0</v>
      </c>
      <c r="M43" s="3">
        <f t="shared" ca="1" si="172"/>
        <v>-43647</v>
      </c>
      <c r="N43" s="3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6"/>
      <c r="DJ43" s="2"/>
      <c r="DK43" s="2"/>
      <c r="DL43" s="2"/>
      <c r="DM43" s="2"/>
    </row>
    <row r="44" spans="1:117" ht="18.5" thickBot="1" x14ac:dyDescent="0.6">
      <c r="A44" s="48"/>
      <c r="B44" s="39"/>
      <c r="C44" s="40"/>
      <c r="D44" s="41"/>
      <c r="E44" s="42"/>
      <c r="F44" s="42"/>
      <c r="G44" s="42"/>
      <c r="H44" s="42"/>
      <c r="I44" s="41"/>
      <c r="J44" s="38">
        <f t="shared" si="169"/>
        <v>0</v>
      </c>
      <c r="K44" s="3">
        <f t="shared" si="170"/>
        <v>0</v>
      </c>
      <c r="L44" s="3">
        <f t="shared" si="171"/>
        <v>0</v>
      </c>
      <c r="M44" s="3">
        <f t="shared" ca="1" si="172"/>
        <v>-43647</v>
      </c>
      <c r="N44" s="3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6"/>
      <c r="DJ44" s="2"/>
      <c r="DK44" s="2"/>
      <c r="DL44" s="2"/>
      <c r="DM44" s="2"/>
    </row>
    <row r="45" spans="1:117" ht="18.5" thickBot="1" x14ac:dyDescent="0.6">
      <c r="A45" s="48"/>
      <c r="B45" s="39"/>
      <c r="C45" s="40"/>
      <c r="D45" s="41"/>
      <c r="E45" s="42"/>
      <c r="F45" s="42"/>
      <c r="G45" s="42"/>
      <c r="H45" s="42"/>
      <c r="I45" s="41"/>
      <c r="J45" s="38">
        <f t="shared" si="169"/>
        <v>0</v>
      </c>
      <c r="K45" s="3">
        <f t="shared" si="170"/>
        <v>0</v>
      </c>
      <c r="L45" s="3">
        <f t="shared" si="171"/>
        <v>0</v>
      </c>
      <c r="M45" s="3">
        <f t="shared" ca="1" si="172"/>
        <v>-43647</v>
      </c>
      <c r="N45" s="3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6"/>
      <c r="DJ45" s="2"/>
      <c r="DK45" s="2"/>
      <c r="DL45" s="2"/>
      <c r="DM45" s="2"/>
    </row>
    <row r="46" spans="1:117" ht="18.5" thickBot="1" x14ac:dyDescent="0.6">
      <c r="A46" s="48"/>
      <c r="B46" s="39"/>
      <c r="C46" s="40"/>
      <c r="D46" s="41"/>
      <c r="E46" s="42"/>
      <c r="F46" s="42"/>
      <c r="G46" s="42"/>
      <c r="H46" s="42"/>
      <c r="I46" s="41"/>
      <c r="J46" s="38">
        <f t="shared" si="169"/>
        <v>0</v>
      </c>
      <c r="K46" s="3">
        <f t="shared" si="170"/>
        <v>0</v>
      </c>
      <c r="L46" s="3">
        <f t="shared" si="171"/>
        <v>0</v>
      </c>
      <c r="M46" s="3">
        <f t="shared" ca="1" si="172"/>
        <v>-43647</v>
      </c>
      <c r="N46" s="3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6"/>
      <c r="DJ46" s="2"/>
      <c r="DK46" s="2"/>
      <c r="DL46" s="2"/>
      <c r="DM46" s="2"/>
    </row>
    <row r="47" spans="1:117" ht="18.5" thickBot="1" x14ac:dyDescent="0.6">
      <c r="A47" s="48"/>
      <c r="B47" s="39"/>
      <c r="C47" s="40"/>
      <c r="D47" s="41"/>
      <c r="E47" s="42"/>
      <c r="F47" s="42"/>
      <c r="G47" s="42"/>
      <c r="H47" s="42"/>
      <c r="I47" s="41"/>
      <c r="J47" s="38">
        <f t="shared" si="169"/>
        <v>0</v>
      </c>
      <c r="K47" s="3">
        <f t="shared" si="170"/>
        <v>0</v>
      </c>
      <c r="L47" s="3">
        <f t="shared" si="171"/>
        <v>0</v>
      </c>
      <c r="M47" s="3">
        <f t="shared" ca="1" si="172"/>
        <v>-43647</v>
      </c>
      <c r="N47" s="3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6"/>
      <c r="DJ47" s="2"/>
      <c r="DK47" s="2"/>
      <c r="DL47" s="2"/>
      <c r="DM47" s="2"/>
    </row>
    <row r="48" spans="1:117" ht="18.5" thickBot="1" x14ac:dyDescent="0.6">
      <c r="A48" s="48"/>
      <c r="B48" s="39"/>
      <c r="C48" s="40"/>
      <c r="D48" s="41"/>
      <c r="E48" s="42"/>
      <c r="F48" s="42"/>
      <c r="G48" s="42"/>
      <c r="H48" s="42"/>
      <c r="I48" s="41"/>
      <c r="J48" s="38">
        <f t="shared" si="169"/>
        <v>0</v>
      </c>
      <c r="K48" s="3">
        <f t="shared" si="170"/>
        <v>0</v>
      </c>
      <c r="L48" s="3">
        <f t="shared" si="171"/>
        <v>0</v>
      </c>
      <c r="M48" s="3">
        <f t="shared" ca="1" si="172"/>
        <v>-43647</v>
      </c>
      <c r="N48" s="3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6"/>
      <c r="DJ48" s="2"/>
      <c r="DK48" s="2"/>
      <c r="DL48" s="2"/>
      <c r="DM48" s="2"/>
    </row>
    <row r="49" spans="1:117" ht="18.5" thickBot="1" x14ac:dyDescent="0.6">
      <c r="A49" s="48"/>
      <c r="B49" s="39"/>
      <c r="C49" s="40"/>
      <c r="D49" s="41"/>
      <c r="E49" s="42"/>
      <c r="F49" s="42"/>
      <c r="G49" s="42"/>
      <c r="H49" s="42"/>
      <c r="I49" s="41"/>
      <c r="J49" s="38">
        <f t="shared" si="169"/>
        <v>0</v>
      </c>
      <c r="K49" s="3">
        <f t="shared" si="170"/>
        <v>0</v>
      </c>
      <c r="L49" s="3">
        <f t="shared" si="171"/>
        <v>0</v>
      </c>
      <c r="M49" s="3">
        <f t="shared" ca="1" si="172"/>
        <v>-43647</v>
      </c>
      <c r="N49" s="3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6"/>
      <c r="DJ49" s="2"/>
      <c r="DK49" s="2"/>
      <c r="DL49" s="2"/>
      <c r="DM49" s="2"/>
    </row>
    <row r="50" spans="1:117" ht="18.5" thickBot="1" x14ac:dyDescent="0.6">
      <c r="A50" s="48"/>
      <c r="B50" s="39"/>
      <c r="C50" s="40"/>
      <c r="D50" s="41"/>
      <c r="E50" s="42"/>
      <c r="F50" s="42"/>
      <c r="G50" s="42"/>
      <c r="H50" s="42"/>
      <c r="I50" s="41"/>
      <c r="J50" s="38">
        <f t="shared" si="169"/>
        <v>0</v>
      </c>
      <c r="K50" s="3">
        <f t="shared" si="170"/>
        <v>0</v>
      </c>
      <c r="L50" s="3">
        <f t="shared" si="171"/>
        <v>0</v>
      </c>
      <c r="M50" s="3">
        <f t="shared" ca="1" si="172"/>
        <v>-43647</v>
      </c>
      <c r="N50" s="3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6"/>
      <c r="DJ50" s="2"/>
      <c r="DK50" s="2"/>
      <c r="DL50" s="2"/>
      <c r="DM50" s="2"/>
    </row>
    <row r="51" spans="1:117" ht="18.5" thickBot="1" x14ac:dyDescent="0.6">
      <c r="A51" s="48"/>
      <c r="B51" s="39"/>
      <c r="C51" s="40"/>
      <c r="D51" s="41"/>
      <c r="E51" s="42"/>
      <c r="F51" s="42"/>
      <c r="G51" s="42"/>
      <c r="H51" s="42"/>
      <c r="I51" s="41"/>
      <c r="J51" s="38">
        <f t="shared" si="169"/>
        <v>0</v>
      </c>
      <c r="K51" s="3">
        <f t="shared" si="170"/>
        <v>0</v>
      </c>
      <c r="L51" s="3">
        <f t="shared" si="171"/>
        <v>0</v>
      </c>
      <c r="M51" s="3">
        <f t="shared" ca="1" si="172"/>
        <v>-43647</v>
      </c>
      <c r="N51" s="3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6"/>
      <c r="DJ51" s="2"/>
      <c r="DK51" s="2"/>
      <c r="DL51" s="2"/>
      <c r="DM51" s="2"/>
    </row>
    <row r="52" spans="1:117" ht="18.5" thickBot="1" x14ac:dyDescent="0.6">
      <c r="A52" s="48"/>
      <c r="B52" s="39"/>
      <c r="C52" s="40"/>
      <c r="D52" s="41"/>
      <c r="E52" s="42"/>
      <c r="F52" s="42"/>
      <c r="G52" s="42"/>
      <c r="H52" s="42"/>
      <c r="I52" s="41"/>
      <c r="J52" s="38">
        <f t="shared" si="169"/>
        <v>0</v>
      </c>
      <c r="K52" s="3">
        <f t="shared" si="170"/>
        <v>0</v>
      </c>
      <c r="L52" s="3">
        <f t="shared" si="171"/>
        <v>0</v>
      </c>
      <c r="M52" s="3">
        <f t="shared" ca="1" si="172"/>
        <v>-43647</v>
      </c>
      <c r="N52" s="3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6"/>
      <c r="DJ52" s="2"/>
      <c r="DK52" s="2"/>
      <c r="DL52" s="2"/>
      <c r="DM52" s="2"/>
    </row>
    <row r="53" spans="1:117" ht="18.5" thickBot="1" x14ac:dyDescent="0.6">
      <c r="A53" s="48"/>
      <c r="B53" s="39"/>
      <c r="C53" s="40"/>
      <c r="D53" s="41"/>
      <c r="E53" s="42"/>
      <c r="F53" s="42"/>
      <c r="G53" s="42"/>
      <c r="H53" s="42"/>
      <c r="I53" s="41"/>
      <c r="J53" s="38">
        <f t="shared" si="169"/>
        <v>0</v>
      </c>
      <c r="K53" s="3">
        <f t="shared" si="170"/>
        <v>0</v>
      </c>
      <c r="L53" s="3">
        <f t="shared" si="171"/>
        <v>0</v>
      </c>
      <c r="M53" s="3">
        <f t="shared" ca="1" si="172"/>
        <v>-43647</v>
      </c>
      <c r="N53" s="3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6"/>
      <c r="DJ53" s="2"/>
      <c r="DK53" s="2"/>
      <c r="DL53" s="2"/>
      <c r="DM53" s="2"/>
    </row>
    <row r="54" spans="1:117" ht="18.5" thickBot="1" x14ac:dyDescent="0.6">
      <c r="A54" s="48"/>
      <c r="B54" s="39"/>
      <c r="C54" s="40"/>
      <c r="D54" s="41"/>
      <c r="E54" s="42"/>
      <c r="F54" s="42"/>
      <c r="G54" s="42"/>
      <c r="H54" s="42"/>
      <c r="I54" s="41"/>
      <c r="J54" s="38">
        <f t="shared" si="169"/>
        <v>0</v>
      </c>
      <c r="K54" s="3">
        <f t="shared" si="170"/>
        <v>0</v>
      </c>
      <c r="L54" s="3">
        <f t="shared" si="171"/>
        <v>0</v>
      </c>
      <c r="M54" s="3">
        <f t="shared" ca="1" si="172"/>
        <v>-43647</v>
      </c>
      <c r="N54" s="3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6"/>
      <c r="DJ54" s="2"/>
      <c r="DK54" s="2"/>
      <c r="DL54" s="2"/>
      <c r="DM54" s="2"/>
    </row>
    <row r="55" spans="1:117" ht="18.5" thickBot="1" x14ac:dyDescent="0.6">
      <c r="A55" s="48"/>
      <c r="B55" s="39"/>
      <c r="C55" s="40"/>
      <c r="D55" s="41"/>
      <c r="E55" s="42"/>
      <c r="F55" s="42"/>
      <c r="G55" s="42"/>
      <c r="H55" s="42"/>
      <c r="I55" s="41"/>
      <c r="J55" s="38">
        <f t="shared" si="169"/>
        <v>0</v>
      </c>
      <c r="K55" s="3">
        <f t="shared" si="170"/>
        <v>0</v>
      </c>
      <c r="L55" s="3">
        <f t="shared" si="171"/>
        <v>0</v>
      </c>
      <c r="M55" s="3">
        <f t="shared" ca="1" si="172"/>
        <v>-43647</v>
      </c>
      <c r="N55" s="3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6"/>
      <c r="DJ55" s="2"/>
      <c r="DK55" s="2"/>
      <c r="DL55" s="2"/>
      <c r="DM55" s="2"/>
    </row>
    <row r="56" spans="1:117" ht="18.5" thickBot="1" x14ac:dyDescent="0.6">
      <c r="A56" s="48"/>
      <c r="B56" s="39"/>
      <c r="C56" s="40"/>
      <c r="D56" s="41"/>
      <c r="E56" s="42"/>
      <c r="F56" s="42"/>
      <c r="G56" s="42"/>
      <c r="H56" s="42"/>
      <c r="I56" s="41"/>
      <c r="J56" s="38">
        <f t="shared" si="169"/>
        <v>0</v>
      </c>
      <c r="K56" s="3">
        <f t="shared" si="170"/>
        <v>0</v>
      </c>
      <c r="L56" s="3">
        <f t="shared" si="171"/>
        <v>0</v>
      </c>
      <c r="M56" s="3">
        <f t="shared" ca="1" si="172"/>
        <v>-43647</v>
      </c>
      <c r="N56" s="3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6"/>
      <c r="DJ56" s="2"/>
      <c r="DK56" s="2"/>
      <c r="DL56" s="2"/>
      <c r="DM56" s="2"/>
    </row>
    <row r="57" spans="1:117" ht="18.5" thickBot="1" x14ac:dyDescent="0.6">
      <c r="A57" s="48"/>
      <c r="B57" s="39"/>
      <c r="C57" s="40"/>
      <c r="D57" s="41"/>
      <c r="E57" s="42"/>
      <c r="F57" s="42"/>
      <c r="G57" s="42"/>
      <c r="H57" s="42"/>
      <c r="I57" s="41"/>
      <c r="J57" s="38">
        <f t="shared" si="169"/>
        <v>0</v>
      </c>
      <c r="K57" s="3">
        <f t="shared" si="170"/>
        <v>0</v>
      </c>
      <c r="L57" s="3">
        <f t="shared" si="171"/>
        <v>0</v>
      </c>
      <c r="M57" s="3">
        <f t="shared" ca="1" si="172"/>
        <v>-43647</v>
      </c>
      <c r="N57" s="3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6"/>
      <c r="DJ57" s="2"/>
      <c r="DK57" s="2"/>
      <c r="DL57" s="2"/>
      <c r="DM57" s="2"/>
    </row>
    <row r="58" spans="1:117" ht="18.5" thickBot="1" x14ac:dyDescent="0.6">
      <c r="A58" s="48"/>
      <c r="B58" s="39"/>
      <c r="C58" s="40"/>
      <c r="D58" s="41"/>
      <c r="E58" s="42"/>
      <c r="F58" s="42"/>
      <c r="G58" s="42"/>
      <c r="H58" s="42"/>
      <c r="I58" s="41"/>
      <c r="J58" s="38">
        <f t="shared" si="169"/>
        <v>0</v>
      </c>
      <c r="K58" s="3">
        <f t="shared" si="170"/>
        <v>0</v>
      </c>
      <c r="L58" s="3">
        <f t="shared" si="171"/>
        <v>0</v>
      </c>
      <c r="M58" s="3">
        <f t="shared" ca="1" si="172"/>
        <v>-43647</v>
      </c>
      <c r="N58" s="3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6"/>
      <c r="DJ58" s="2"/>
      <c r="DK58" s="2"/>
      <c r="DL58" s="2"/>
      <c r="DM58" s="2"/>
    </row>
    <row r="59" spans="1:117" ht="18.5" thickBot="1" x14ac:dyDescent="0.6">
      <c r="A59" s="48"/>
      <c r="B59" s="39"/>
      <c r="C59" s="40"/>
      <c r="D59" s="41"/>
      <c r="E59" s="42"/>
      <c r="F59" s="42"/>
      <c r="G59" s="42"/>
      <c r="H59" s="42"/>
      <c r="I59" s="41"/>
      <c r="J59" s="38">
        <f t="shared" si="169"/>
        <v>0</v>
      </c>
      <c r="K59" s="3">
        <f t="shared" si="170"/>
        <v>0</v>
      </c>
      <c r="L59" s="3">
        <f t="shared" si="171"/>
        <v>0</v>
      </c>
      <c r="M59" s="3">
        <f t="shared" ca="1" si="172"/>
        <v>-43647</v>
      </c>
      <c r="N59" s="3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6"/>
      <c r="DJ59" s="2"/>
      <c r="DK59" s="2"/>
      <c r="DL59" s="2"/>
      <c r="DM59" s="2"/>
    </row>
    <row r="60" spans="1:117" ht="18.5" thickBot="1" x14ac:dyDescent="0.6">
      <c r="A60" s="48"/>
      <c r="B60" s="39"/>
      <c r="C60" s="40"/>
      <c r="D60" s="41"/>
      <c r="E60" s="42"/>
      <c r="F60" s="42"/>
      <c r="G60" s="42"/>
      <c r="H60" s="42"/>
      <c r="I60" s="41"/>
      <c r="J60" s="38">
        <f t="shared" si="169"/>
        <v>0</v>
      </c>
      <c r="K60" s="3">
        <f t="shared" si="170"/>
        <v>0</v>
      </c>
      <c r="L60" s="3">
        <f t="shared" si="171"/>
        <v>0</v>
      </c>
      <c r="M60" s="3">
        <f t="shared" ca="1" si="172"/>
        <v>-43647</v>
      </c>
      <c r="N60" s="3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6"/>
      <c r="DJ60" s="2"/>
      <c r="DK60" s="2"/>
      <c r="DL60" s="2"/>
      <c r="DM60" s="2"/>
    </row>
    <row r="61" spans="1:117" ht="18.5" thickBot="1" x14ac:dyDescent="0.6">
      <c r="A61" s="48"/>
      <c r="B61" s="39"/>
      <c r="C61" s="40"/>
      <c r="D61" s="41"/>
      <c r="E61" s="42"/>
      <c r="F61" s="42"/>
      <c r="G61" s="42"/>
      <c r="H61" s="42"/>
      <c r="I61" s="41"/>
      <c r="J61" s="38">
        <f t="shared" si="169"/>
        <v>0</v>
      </c>
      <c r="K61" s="3">
        <f t="shared" si="170"/>
        <v>0</v>
      </c>
      <c r="L61" s="3">
        <f t="shared" si="171"/>
        <v>0</v>
      </c>
      <c r="M61" s="3">
        <f t="shared" ca="1" si="172"/>
        <v>-43647</v>
      </c>
      <c r="N61" s="3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6"/>
      <c r="DJ61" s="2"/>
      <c r="DK61" s="2"/>
      <c r="DL61" s="2"/>
      <c r="DM61" s="2"/>
    </row>
    <row r="62" spans="1:117" ht="18.5" thickBot="1" x14ac:dyDescent="0.6">
      <c r="A62" s="48"/>
      <c r="B62" s="39"/>
      <c r="C62" s="40"/>
      <c r="D62" s="41"/>
      <c r="E62" s="42"/>
      <c r="F62" s="42"/>
      <c r="G62" s="42"/>
      <c r="H62" s="42"/>
      <c r="I62" s="41"/>
      <c r="J62" s="38">
        <f t="shared" si="169"/>
        <v>0</v>
      </c>
      <c r="K62" s="3">
        <f t="shared" si="170"/>
        <v>0</v>
      </c>
      <c r="L62" s="3">
        <f t="shared" si="171"/>
        <v>0</v>
      </c>
      <c r="M62" s="3">
        <f t="shared" ca="1" si="172"/>
        <v>-43647</v>
      </c>
      <c r="N62" s="3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6"/>
      <c r="DJ62" s="2"/>
      <c r="DK62" s="2"/>
      <c r="DL62" s="2"/>
      <c r="DM62" s="2"/>
    </row>
    <row r="63" spans="1:117" ht="18.5" thickBot="1" x14ac:dyDescent="0.6">
      <c r="A63" s="48"/>
      <c r="B63" s="39"/>
      <c r="C63" s="40"/>
      <c r="D63" s="41"/>
      <c r="E63" s="42"/>
      <c r="F63" s="42"/>
      <c r="G63" s="42"/>
      <c r="H63" s="42"/>
      <c r="I63" s="41"/>
      <c r="J63" s="38">
        <f t="shared" si="169"/>
        <v>0</v>
      </c>
      <c r="K63" s="3">
        <f t="shared" si="170"/>
        <v>0</v>
      </c>
      <c r="L63" s="3">
        <f t="shared" si="171"/>
        <v>0</v>
      </c>
      <c r="M63" s="3">
        <f t="shared" ca="1" si="172"/>
        <v>-43647</v>
      </c>
      <c r="N63" s="3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6"/>
      <c r="DJ63" s="2"/>
      <c r="DK63" s="2"/>
      <c r="DL63" s="2"/>
      <c r="DM63" s="2"/>
    </row>
    <row r="64" spans="1:117" ht="18.5" thickBot="1" x14ac:dyDescent="0.6">
      <c r="A64" s="48"/>
      <c r="B64" s="39"/>
      <c r="C64" s="40"/>
      <c r="D64" s="41"/>
      <c r="E64" s="42"/>
      <c r="F64" s="42"/>
      <c r="G64" s="42"/>
      <c r="H64" s="42"/>
      <c r="I64" s="41"/>
      <c r="J64" s="38">
        <f t="shared" si="169"/>
        <v>0</v>
      </c>
      <c r="K64" s="3">
        <f t="shared" si="170"/>
        <v>0</v>
      </c>
      <c r="L64" s="3">
        <f t="shared" si="171"/>
        <v>0</v>
      </c>
      <c r="M64" s="3">
        <f t="shared" ca="1" si="172"/>
        <v>-43647</v>
      </c>
      <c r="N64" s="3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6"/>
      <c r="DJ64" s="2"/>
      <c r="DK64" s="2"/>
      <c r="DL64" s="2"/>
      <c r="DM64" s="2"/>
    </row>
    <row r="65" spans="1:117" ht="18.5" thickBot="1" x14ac:dyDescent="0.6">
      <c r="A65" s="48"/>
      <c r="B65" s="39"/>
      <c r="C65" s="40"/>
      <c r="D65" s="41"/>
      <c r="E65" s="42"/>
      <c r="F65" s="42"/>
      <c r="G65" s="42"/>
      <c r="H65" s="42"/>
      <c r="I65" s="41"/>
      <c r="J65" s="38">
        <f t="shared" si="169"/>
        <v>0</v>
      </c>
      <c r="K65" s="3">
        <f t="shared" si="170"/>
        <v>0</v>
      </c>
      <c r="L65" s="3">
        <f t="shared" si="171"/>
        <v>0</v>
      </c>
      <c r="M65" s="3">
        <f t="shared" ca="1" si="172"/>
        <v>-43647</v>
      </c>
      <c r="N65" s="3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6"/>
      <c r="DJ65" s="2"/>
      <c r="DK65" s="2"/>
      <c r="DL65" s="2"/>
      <c r="DM65" s="2"/>
    </row>
    <row r="66" spans="1:117" ht="18.5" thickBot="1" x14ac:dyDescent="0.6">
      <c r="A66" s="48"/>
      <c r="B66" s="39"/>
      <c r="C66" s="40"/>
      <c r="D66" s="41"/>
      <c r="E66" s="42"/>
      <c r="F66" s="42"/>
      <c r="G66" s="42"/>
      <c r="H66" s="42"/>
      <c r="I66" s="41"/>
      <c r="J66" s="38">
        <f t="shared" si="169"/>
        <v>0</v>
      </c>
      <c r="K66" s="3">
        <f t="shared" si="170"/>
        <v>0</v>
      </c>
      <c r="L66" s="3">
        <f t="shared" si="171"/>
        <v>0</v>
      </c>
      <c r="M66" s="3">
        <f t="shared" ca="1" si="172"/>
        <v>-43647</v>
      </c>
      <c r="N66" s="3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6"/>
      <c r="DJ66" s="2"/>
      <c r="DK66" s="2"/>
      <c r="DL66" s="2"/>
      <c r="DM66" s="2"/>
    </row>
    <row r="67" spans="1:117" ht="18.5" thickBot="1" x14ac:dyDescent="0.6">
      <c r="A67" s="48"/>
      <c r="B67" s="39"/>
      <c r="C67" s="40"/>
      <c r="D67" s="41"/>
      <c r="E67" s="42"/>
      <c r="F67" s="42"/>
      <c r="G67" s="42"/>
      <c r="H67" s="42"/>
      <c r="I67" s="41"/>
      <c r="J67" s="38">
        <f t="shared" si="169"/>
        <v>0</v>
      </c>
      <c r="K67" s="3">
        <f t="shared" si="170"/>
        <v>0</v>
      </c>
      <c r="L67" s="3">
        <f t="shared" si="171"/>
        <v>0</v>
      </c>
      <c r="M67" s="3">
        <f t="shared" ca="1" si="172"/>
        <v>-43647</v>
      </c>
      <c r="N67" s="3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6"/>
      <c r="DJ67" s="2"/>
      <c r="DK67" s="2"/>
      <c r="DL67" s="2"/>
      <c r="DM67" s="2"/>
    </row>
    <row r="68" spans="1:117" ht="18.5" thickBot="1" x14ac:dyDescent="0.6">
      <c r="A68" s="48"/>
      <c r="B68" s="39"/>
      <c r="C68" s="40"/>
      <c r="D68" s="41"/>
      <c r="E68" s="42"/>
      <c r="F68" s="42"/>
      <c r="G68" s="42"/>
      <c r="H68" s="42"/>
      <c r="I68" s="41"/>
      <c r="J68" s="38">
        <f t="shared" si="169"/>
        <v>0</v>
      </c>
      <c r="K68" s="3">
        <f t="shared" si="170"/>
        <v>0</v>
      </c>
      <c r="L68" s="3">
        <f t="shared" si="171"/>
        <v>0</v>
      </c>
      <c r="M68" s="3">
        <f t="shared" ca="1" si="172"/>
        <v>-43647</v>
      </c>
      <c r="N68" s="3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6"/>
      <c r="DJ68" s="2"/>
      <c r="DK68" s="2"/>
      <c r="DL68" s="2"/>
      <c r="DM68" s="2"/>
    </row>
    <row r="69" spans="1:117" ht="18.5" thickBot="1" x14ac:dyDescent="0.6">
      <c r="A69" s="48"/>
      <c r="B69" s="39"/>
      <c r="C69" s="40"/>
      <c r="D69" s="41"/>
      <c r="E69" s="42"/>
      <c r="F69" s="42"/>
      <c r="G69" s="42"/>
      <c r="H69" s="42"/>
      <c r="I69" s="41"/>
      <c r="J69" s="38">
        <f t="shared" ref="J69:J95" si="173">F69-E69</f>
        <v>0</v>
      </c>
      <c r="K69" s="3">
        <f t="shared" ref="K69:K95" si="174">H69-G69</f>
        <v>0</v>
      </c>
      <c r="L69" s="3">
        <f t="shared" ref="L69:L95" si="175">G69-E69</f>
        <v>0</v>
      </c>
      <c r="M69" s="3">
        <f t="shared" ref="M69:M95" ca="1" si="176">F69-TODAY()</f>
        <v>-43647</v>
      </c>
      <c r="N69" s="3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6"/>
      <c r="DJ69" s="2"/>
      <c r="DK69" s="2"/>
      <c r="DL69" s="2"/>
      <c r="DM69" s="2"/>
    </row>
    <row r="70" spans="1:117" ht="18.5" thickBot="1" x14ac:dyDescent="0.6">
      <c r="A70" s="48"/>
      <c r="B70" s="39"/>
      <c r="C70" s="40"/>
      <c r="D70" s="41"/>
      <c r="E70" s="42"/>
      <c r="F70" s="42"/>
      <c r="G70" s="42"/>
      <c r="H70" s="42"/>
      <c r="I70" s="41"/>
      <c r="J70" s="38">
        <f t="shared" si="173"/>
        <v>0</v>
      </c>
      <c r="K70" s="3">
        <f t="shared" si="174"/>
        <v>0</v>
      </c>
      <c r="L70" s="3">
        <f t="shared" si="175"/>
        <v>0</v>
      </c>
      <c r="M70" s="3">
        <f t="shared" ca="1" si="176"/>
        <v>-43647</v>
      </c>
      <c r="N70" s="3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6"/>
      <c r="DJ70" s="2"/>
      <c r="DK70" s="2"/>
      <c r="DL70" s="2"/>
      <c r="DM70" s="2"/>
    </row>
    <row r="71" spans="1:117" ht="18.5" thickBot="1" x14ac:dyDescent="0.6">
      <c r="A71" s="48"/>
      <c r="B71" s="39"/>
      <c r="C71" s="40"/>
      <c r="D71" s="41"/>
      <c r="E71" s="42"/>
      <c r="F71" s="42"/>
      <c r="G71" s="42"/>
      <c r="H71" s="42"/>
      <c r="I71" s="41"/>
      <c r="J71" s="38">
        <f t="shared" si="173"/>
        <v>0</v>
      </c>
      <c r="K71" s="3">
        <f t="shared" si="174"/>
        <v>0</v>
      </c>
      <c r="L71" s="3">
        <f t="shared" si="175"/>
        <v>0</v>
      </c>
      <c r="M71" s="3">
        <f t="shared" ca="1" si="176"/>
        <v>-43647</v>
      </c>
      <c r="N71" s="3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6"/>
      <c r="DJ71" s="2"/>
      <c r="DK71" s="2"/>
      <c r="DL71" s="2"/>
      <c r="DM71" s="2"/>
    </row>
    <row r="72" spans="1:117" ht="18.5" thickBot="1" x14ac:dyDescent="0.6">
      <c r="A72" s="48"/>
      <c r="B72" s="39"/>
      <c r="C72" s="40"/>
      <c r="D72" s="41"/>
      <c r="E72" s="42"/>
      <c r="F72" s="42"/>
      <c r="G72" s="42"/>
      <c r="H72" s="42"/>
      <c r="I72" s="41"/>
      <c r="J72" s="38">
        <f t="shared" si="173"/>
        <v>0</v>
      </c>
      <c r="K72" s="3">
        <f t="shared" si="174"/>
        <v>0</v>
      </c>
      <c r="L72" s="3">
        <f t="shared" si="175"/>
        <v>0</v>
      </c>
      <c r="M72" s="3">
        <f t="shared" ca="1" si="176"/>
        <v>-43647</v>
      </c>
      <c r="N72" s="3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6"/>
      <c r="DJ72" s="2"/>
      <c r="DK72" s="2"/>
      <c r="DL72" s="2"/>
      <c r="DM72" s="2"/>
    </row>
    <row r="73" spans="1:117" ht="18.5" thickBot="1" x14ac:dyDescent="0.6">
      <c r="A73" s="48"/>
      <c r="B73" s="39"/>
      <c r="C73" s="40"/>
      <c r="D73" s="41"/>
      <c r="E73" s="42"/>
      <c r="F73" s="42"/>
      <c r="G73" s="42"/>
      <c r="H73" s="42"/>
      <c r="I73" s="41"/>
      <c r="J73" s="38">
        <f t="shared" si="173"/>
        <v>0</v>
      </c>
      <c r="K73" s="3">
        <f t="shared" si="174"/>
        <v>0</v>
      </c>
      <c r="L73" s="3">
        <f t="shared" si="175"/>
        <v>0</v>
      </c>
      <c r="M73" s="3">
        <f t="shared" ca="1" si="176"/>
        <v>-43647</v>
      </c>
      <c r="N73" s="3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6"/>
      <c r="DJ73" s="2"/>
      <c r="DK73" s="2"/>
      <c r="DL73" s="2"/>
      <c r="DM73" s="2"/>
    </row>
    <row r="74" spans="1:117" ht="18.5" thickBot="1" x14ac:dyDescent="0.6">
      <c r="A74" s="48"/>
      <c r="B74" s="39"/>
      <c r="C74" s="40"/>
      <c r="D74" s="41"/>
      <c r="E74" s="42"/>
      <c r="F74" s="42"/>
      <c r="G74" s="42"/>
      <c r="H74" s="42"/>
      <c r="I74" s="41"/>
      <c r="J74" s="38">
        <f t="shared" si="173"/>
        <v>0</v>
      </c>
      <c r="K74" s="3">
        <f t="shared" si="174"/>
        <v>0</v>
      </c>
      <c r="L74" s="3">
        <f t="shared" si="175"/>
        <v>0</v>
      </c>
      <c r="M74" s="3">
        <f t="shared" ca="1" si="176"/>
        <v>-43647</v>
      </c>
      <c r="N74" s="3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6"/>
      <c r="DJ74" s="2"/>
      <c r="DK74" s="2"/>
      <c r="DL74" s="2"/>
      <c r="DM74" s="2"/>
    </row>
    <row r="75" spans="1:117" ht="18.5" thickBot="1" x14ac:dyDescent="0.6">
      <c r="A75" s="48"/>
      <c r="B75" s="39"/>
      <c r="C75" s="40"/>
      <c r="D75" s="41"/>
      <c r="E75" s="42"/>
      <c r="F75" s="42"/>
      <c r="G75" s="42"/>
      <c r="H75" s="42"/>
      <c r="I75" s="41"/>
      <c r="J75" s="38">
        <f t="shared" si="173"/>
        <v>0</v>
      </c>
      <c r="K75" s="3">
        <f t="shared" si="174"/>
        <v>0</v>
      </c>
      <c r="L75" s="3">
        <f t="shared" si="175"/>
        <v>0</v>
      </c>
      <c r="M75" s="3">
        <f t="shared" ca="1" si="176"/>
        <v>-43647</v>
      </c>
      <c r="N75" s="3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6"/>
      <c r="DJ75" s="2"/>
      <c r="DK75" s="2"/>
      <c r="DL75" s="2"/>
      <c r="DM75" s="2"/>
    </row>
    <row r="76" spans="1:117" ht="18.5" thickBot="1" x14ac:dyDescent="0.6">
      <c r="A76" s="48"/>
      <c r="B76" s="39"/>
      <c r="C76" s="40"/>
      <c r="D76" s="41"/>
      <c r="E76" s="42"/>
      <c r="F76" s="42"/>
      <c r="G76" s="42"/>
      <c r="H76" s="42"/>
      <c r="I76" s="41"/>
      <c r="J76" s="38">
        <f t="shared" si="173"/>
        <v>0</v>
      </c>
      <c r="K76" s="3">
        <f t="shared" si="174"/>
        <v>0</v>
      </c>
      <c r="L76" s="3">
        <f t="shared" si="175"/>
        <v>0</v>
      </c>
      <c r="M76" s="3">
        <f t="shared" ca="1" si="176"/>
        <v>-43647</v>
      </c>
      <c r="N76" s="3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6"/>
      <c r="DJ76" s="2"/>
      <c r="DK76" s="2"/>
      <c r="DL76" s="2"/>
      <c r="DM76" s="2"/>
    </row>
    <row r="77" spans="1:117" ht="18.5" thickBot="1" x14ac:dyDescent="0.6">
      <c r="A77" s="48"/>
      <c r="B77" s="39"/>
      <c r="C77" s="40"/>
      <c r="D77" s="41"/>
      <c r="E77" s="42"/>
      <c r="F77" s="42"/>
      <c r="G77" s="42"/>
      <c r="H77" s="42"/>
      <c r="I77" s="41"/>
      <c r="J77" s="38">
        <f t="shared" si="173"/>
        <v>0</v>
      </c>
      <c r="K77" s="3">
        <f t="shared" si="174"/>
        <v>0</v>
      </c>
      <c r="L77" s="3">
        <f t="shared" si="175"/>
        <v>0</v>
      </c>
      <c r="M77" s="3">
        <f t="shared" ca="1" si="176"/>
        <v>-43647</v>
      </c>
      <c r="N77" s="3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6"/>
      <c r="DJ77" s="2"/>
      <c r="DK77" s="2"/>
      <c r="DL77" s="2"/>
      <c r="DM77" s="2"/>
    </row>
    <row r="78" spans="1:117" ht="18.5" thickBot="1" x14ac:dyDescent="0.6">
      <c r="A78" s="48"/>
      <c r="B78" s="39"/>
      <c r="C78" s="40"/>
      <c r="D78" s="41"/>
      <c r="E78" s="42"/>
      <c r="F78" s="42"/>
      <c r="G78" s="42"/>
      <c r="H78" s="42"/>
      <c r="I78" s="41"/>
      <c r="J78" s="38">
        <f t="shared" si="173"/>
        <v>0</v>
      </c>
      <c r="K78" s="3">
        <f t="shared" si="174"/>
        <v>0</v>
      </c>
      <c r="L78" s="3">
        <f t="shared" si="175"/>
        <v>0</v>
      </c>
      <c r="M78" s="3">
        <f t="shared" ca="1" si="176"/>
        <v>-43647</v>
      </c>
      <c r="N78" s="3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6"/>
      <c r="DJ78" s="2"/>
      <c r="DK78" s="2"/>
      <c r="DL78" s="2"/>
      <c r="DM78" s="2"/>
    </row>
    <row r="79" spans="1:117" ht="18.5" thickBot="1" x14ac:dyDescent="0.6">
      <c r="A79" s="48"/>
      <c r="B79" s="39"/>
      <c r="C79" s="40"/>
      <c r="D79" s="41"/>
      <c r="E79" s="42"/>
      <c r="F79" s="42"/>
      <c r="G79" s="42"/>
      <c r="H79" s="42"/>
      <c r="I79" s="41"/>
      <c r="J79" s="38">
        <f t="shared" si="173"/>
        <v>0</v>
      </c>
      <c r="K79" s="3">
        <f t="shared" si="174"/>
        <v>0</v>
      </c>
      <c r="L79" s="3">
        <f t="shared" si="175"/>
        <v>0</v>
      </c>
      <c r="M79" s="3">
        <f t="shared" ca="1" si="176"/>
        <v>-43647</v>
      </c>
      <c r="N79" s="3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6"/>
      <c r="DJ79" s="2"/>
      <c r="DK79" s="2"/>
      <c r="DL79" s="2"/>
      <c r="DM79" s="2"/>
    </row>
    <row r="80" spans="1:117" ht="18.5" thickBot="1" x14ac:dyDescent="0.6">
      <c r="A80" s="48"/>
      <c r="B80" s="39"/>
      <c r="C80" s="40"/>
      <c r="D80" s="41"/>
      <c r="E80" s="42"/>
      <c r="F80" s="42"/>
      <c r="G80" s="42"/>
      <c r="H80" s="42"/>
      <c r="I80" s="41"/>
      <c r="J80" s="38">
        <f t="shared" si="173"/>
        <v>0</v>
      </c>
      <c r="K80" s="3">
        <f t="shared" si="174"/>
        <v>0</v>
      </c>
      <c r="L80" s="3">
        <f t="shared" si="175"/>
        <v>0</v>
      </c>
      <c r="M80" s="3">
        <f t="shared" ca="1" si="176"/>
        <v>-43647</v>
      </c>
      <c r="N80" s="3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6"/>
      <c r="DJ80" s="2"/>
      <c r="DK80" s="2"/>
      <c r="DL80" s="2"/>
      <c r="DM80" s="2"/>
    </row>
    <row r="81" spans="1:117" ht="18.5" thickBot="1" x14ac:dyDescent="0.6">
      <c r="A81" s="48"/>
      <c r="B81" s="39"/>
      <c r="C81" s="40"/>
      <c r="D81" s="41"/>
      <c r="E81" s="42"/>
      <c r="F81" s="42"/>
      <c r="G81" s="42"/>
      <c r="H81" s="42"/>
      <c r="I81" s="41"/>
      <c r="J81" s="38">
        <f t="shared" si="173"/>
        <v>0</v>
      </c>
      <c r="K81" s="3">
        <f t="shared" si="174"/>
        <v>0</v>
      </c>
      <c r="L81" s="3">
        <f t="shared" si="175"/>
        <v>0</v>
      </c>
      <c r="M81" s="3">
        <f t="shared" ca="1" si="176"/>
        <v>-43647</v>
      </c>
      <c r="N81" s="3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6"/>
      <c r="DJ81" s="2"/>
      <c r="DK81" s="2"/>
      <c r="DL81" s="2"/>
      <c r="DM81" s="2"/>
    </row>
    <row r="82" spans="1:117" ht="18.5" thickBot="1" x14ac:dyDescent="0.6">
      <c r="A82" s="48"/>
      <c r="B82" s="39"/>
      <c r="C82" s="40"/>
      <c r="D82" s="41"/>
      <c r="E82" s="42"/>
      <c r="F82" s="42"/>
      <c r="G82" s="42"/>
      <c r="H82" s="42"/>
      <c r="I82" s="41"/>
      <c r="J82" s="38">
        <f t="shared" si="173"/>
        <v>0</v>
      </c>
      <c r="K82" s="3">
        <f t="shared" si="174"/>
        <v>0</v>
      </c>
      <c r="L82" s="3">
        <f t="shared" si="175"/>
        <v>0</v>
      </c>
      <c r="M82" s="3">
        <f t="shared" ca="1" si="176"/>
        <v>-43647</v>
      </c>
      <c r="N82" s="3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6"/>
      <c r="DJ82" s="2"/>
      <c r="DK82" s="2"/>
      <c r="DL82" s="2"/>
      <c r="DM82" s="2"/>
    </row>
    <row r="83" spans="1:117" ht="18.5" thickBot="1" x14ac:dyDescent="0.6">
      <c r="A83" s="48"/>
      <c r="B83" s="39"/>
      <c r="C83" s="40"/>
      <c r="D83" s="41"/>
      <c r="E83" s="42"/>
      <c r="F83" s="42"/>
      <c r="G83" s="42"/>
      <c r="H83" s="42"/>
      <c r="I83" s="41"/>
      <c r="J83" s="38">
        <f t="shared" si="173"/>
        <v>0</v>
      </c>
      <c r="K83" s="3">
        <f t="shared" si="174"/>
        <v>0</v>
      </c>
      <c r="L83" s="3">
        <f t="shared" si="175"/>
        <v>0</v>
      </c>
      <c r="M83" s="3">
        <f t="shared" ca="1" si="176"/>
        <v>-43647</v>
      </c>
      <c r="N83" s="3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6"/>
      <c r="DJ83" s="2"/>
      <c r="DK83" s="2"/>
      <c r="DL83" s="2"/>
      <c r="DM83" s="2"/>
    </row>
    <row r="84" spans="1:117" ht="18.5" thickBot="1" x14ac:dyDescent="0.6">
      <c r="A84" s="48"/>
      <c r="B84" s="39"/>
      <c r="C84" s="40"/>
      <c r="D84" s="41"/>
      <c r="E84" s="42"/>
      <c r="F84" s="42"/>
      <c r="G84" s="42"/>
      <c r="H84" s="42"/>
      <c r="I84" s="41"/>
      <c r="J84" s="38">
        <f t="shared" si="173"/>
        <v>0</v>
      </c>
      <c r="K84" s="3">
        <f t="shared" si="174"/>
        <v>0</v>
      </c>
      <c r="L84" s="3">
        <f t="shared" si="175"/>
        <v>0</v>
      </c>
      <c r="M84" s="3">
        <f t="shared" ca="1" si="176"/>
        <v>-43647</v>
      </c>
      <c r="N84" s="3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6"/>
      <c r="DJ84" s="2"/>
      <c r="DK84" s="2"/>
      <c r="DL84" s="2"/>
      <c r="DM84" s="2"/>
    </row>
    <row r="85" spans="1:117" ht="18.5" thickBot="1" x14ac:dyDescent="0.6">
      <c r="A85" s="48"/>
      <c r="B85" s="39"/>
      <c r="C85" s="40"/>
      <c r="D85" s="41"/>
      <c r="E85" s="42"/>
      <c r="F85" s="42"/>
      <c r="G85" s="42"/>
      <c r="H85" s="42"/>
      <c r="I85" s="41"/>
      <c r="J85" s="38">
        <f t="shared" si="173"/>
        <v>0</v>
      </c>
      <c r="K85" s="3">
        <f t="shared" si="174"/>
        <v>0</v>
      </c>
      <c r="L85" s="3">
        <f t="shared" si="175"/>
        <v>0</v>
      </c>
      <c r="M85" s="3">
        <f t="shared" ca="1" si="176"/>
        <v>-43647</v>
      </c>
      <c r="N85" s="3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6"/>
      <c r="DJ85" s="2"/>
      <c r="DK85" s="2"/>
      <c r="DL85" s="2"/>
      <c r="DM85" s="2"/>
    </row>
    <row r="86" spans="1:117" ht="18.5" thickBot="1" x14ac:dyDescent="0.6">
      <c r="A86" s="48"/>
      <c r="B86" s="39"/>
      <c r="C86" s="40"/>
      <c r="D86" s="41"/>
      <c r="E86" s="42"/>
      <c r="F86" s="42"/>
      <c r="G86" s="42"/>
      <c r="H86" s="42"/>
      <c r="I86" s="41"/>
      <c r="J86" s="38">
        <f t="shared" si="173"/>
        <v>0</v>
      </c>
      <c r="K86" s="3">
        <f t="shared" si="174"/>
        <v>0</v>
      </c>
      <c r="L86" s="3">
        <f t="shared" si="175"/>
        <v>0</v>
      </c>
      <c r="M86" s="3">
        <f t="shared" ca="1" si="176"/>
        <v>-43647</v>
      </c>
      <c r="N86" s="3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6"/>
      <c r="DJ86" s="2"/>
      <c r="DK86" s="2"/>
      <c r="DL86" s="2"/>
      <c r="DM86" s="2"/>
    </row>
    <row r="87" spans="1:117" ht="18.5" thickBot="1" x14ac:dyDescent="0.6">
      <c r="A87" s="48"/>
      <c r="B87" s="39"/>
      <c r="C87" s="40"/>
      <c r="D87" s="41"/>
      <c r="E87" s="42"/>
      <c r="F87" s="42"/>
      <c r="G87" s="42"/>
      <c r="H87" s="42"/>
      <c r="I87" s="41"/>
      <c r="J87" s="38">
        <f t="shared" si="173"/>
        <v>0</v>
      </c>
      <c r="K87" s="3">
        <f t="shared" si="174"/>
        <v>0</v>
      </c>
      <c r="L87" s="3">
        <f t="shared" si="175"/>
        <v>0</v>
      </c>
      <c r="M87" s="3">
        <f t="shared" ca="1" si="176"/>
        <v>-43647</v>
      </c>
      <c r="N87" s="3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6"/>
      <c r="DJ87" s="2"/>
      <c r="DK87" s="2"/>
      <c r="DL87" s="2"/>
      <c r="DM87" s="2"/>
    </row>
    <row r="88" spans="1:117" ht="18.5" thickBot="1" x14ac:dyDescent="0.6">
      <c r="A88" s="48"/>
      <c r="B88" s="39"/>
      <c r="C88" s="40"/>
      <c r="D88" s="41"/>
      <c r="E88" s="42"/>
      <c r="F88" s="42"/>
      <c r="G88" s="42"/>
      <c r="H88" s="42"/>
      <c r="I88" s="41"/>
      <c r="J88" s="38">
        <f t="shared" si="173"/>
        <v>0</v>
      </c>
      <c r="K88" s="3">
        <f t="shared" si="174"/>
        <v>0</v>
      </c>
      <c r="L88" s="3">
        <f t="shared" si="175"/>
        <v>0</v>
      </c>
      <c r="M88" s="3">
        <f t="shared" ca="1" si="176"/>
        <v>-43647</v>
      </c>
      <c r="N88" s="3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6"/>
      <c r="DJ88" s="2"/>
      <c r="DK88" s="2"/>
      <c r="DL88" s="2"/>
      <c r="DM88" s="2"/>
    </row>
    <row r="89" spans="1:117" ht="18.5" thickBot="1" x14ac:dyDescent="0.6">
      <c r="A89" s="48"/>
      <c r="B89" s="39"/>
      <c r="C89" s="40"/>
      <c r="D89" s="41"/>
      <c r="E89" s="42"/>
      <c r="F89" s="42"/>
      <c r="G89" s="42"/>
      <c r="H89" s="42"/>
      <c r="I89" s="41"/>
      <c r="J89" s="38">
        <f t="shared" si="173"/>
        <v>0</v>
      </c>
      <c r="K89" s="3">
        <f t="shared" si="174"/>
        <v>0</v>
      </c>
      <c r="L89" s="3">
        <f t="shared" si="175"/>
        <v>0</v>
      </c>
      <c r="M89" s="3">
        <f t="shared" ca="1" si="176"/>
        <v>-43647</v>
      </c>
      <c r="N89" s="3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6"/>
      <c r="DJ89" s="2"/>
      <c r="DK89" s="2"/>
      <c r="DL89" s="2"/>
      <c r="DM89" s="2"/>
    </row>
    <row r="90" spans="1:117" ht="18.5" thickBot="1" x14ac:dyDescent="0.6">
      <c r="A90" s="48"/>
      <c r="B90" s="39"/>
      <c r="C90" s="40"/>
      <c r="D90" s="41"/>
      <c r="E90" s="42"/>
      <c r="F90" s="42"/>
      <c r="G90" s="42"/>
      <c r="H90" s="42"/>
      <c r="I90" s="41"/>
      <c r="J90" s="38">
        <f t="shared" si="173"/>
        <v>0</v>
      </c>
      <c r="K90" s="3">
        <f t="shared" si="174"/>
        <v>0</v>
      </c>
      <c r="L90" s="3">
        <f t="shared" si="175"/>
        <v>0</v>
      </c>
      <c r="M90" s="3">
        <f t="shared" ca="1" si="176"/>
        <v>-43647</v>
      </c>
      <c r="N90" s="3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6"/>
      <c r="DJ90" s="2"/>
      <c r="DK90" s="2"/>
      <c r="DL90" s="2"/>
      <c r="DM90" s="2"/>
    </row>
    <row r="91" spans="1:117" ht="18.5" thickBot="1" x14ac:dyDescent="0.6">
      <c r="A91" s="48"/>
      <c r="B91" s="39"/>
      <c r="C91" s="40"/>
      <c r="D91" s="41"/>
      <c r="E91" s="42"/>
      <c r="F91" s="42"/>
      <c r="G91" s="42"/>
      <c r="H91" s="42"/>
      <c r="I91" s="41"/>
      <c r="J91" s="38">
        <f t="shared" si="173"/>
        <v>0</v>
      </c>
      <c r="K91" s="3">
        <f t="shared" si="174"/>
        <v>0</v>
      </c>
      <c r="L91" s="3">
        <f t="shared" si="175"/>
        <v>0</v>
      </c>
      <c r="M91" s="3">
        <f t="shared" ca="1" si="176"/>
        <v>-43647</v>
      </c>
      <c r="N91" s="3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6"/>
      <c r="DJ91" s="2"/>
      <c r="DK91" s="2"/>
      <c r="DL91" s="2"/>
      <c r="DM91" s="2"/>
    </row>
    <row r="92" spans="1:117" ht="18.5" thickBot="1" x14ac:dyDescent="0.6">
      <c r="A92" s="48"/>
      <c r="B92" s="39"/>
      <c r="C92" s="40"/>
      <c r="D92" s="41"/>
      <c r="E92" s="42"/>
      <c r="F92" s="42"/>
      <c r="G92" s="42"/>
      <c r="H92" s="42"/>
      <c r="I92" s="41"/>
      <c r="J92" s="38">
        <f t="shared" si="173"/>
        <v>0</v>
      </c>
      <c r="K92" s="3">
        <f t="shared" si="174"/>
        <v>0</v>
      </c>
      <c r="L92" s="3">
        <f t="shared" si="175"/>
        <v>0</v>
      </c>
      <c r="M92" s="3">
        <f t="shared" ca="1" si="176"/>
        <v>-43647</v>
      </c>
      <c r="N92" s="3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6"/>
      <c r="DJ92" s="2"/>
      <c r="DK92" s="2"/>
      <c r="DL92" s="2"/>
      <c r="DM92" s="2"/>
    </row>
    <row r="93" spans="1:117" ht="18.5" thickBot="1" x14ac:dyDescent="0.6">
      <c r="A93" s="48"/>
      <c r="B93" s="39"/>
      <c r="C93" s="40"/>
      <c r="D93" s="41"/>
      <c r="E93" s="42"/>
      <c r="F93" s="42"/>
      <c r="G93" s="42"/>
      <c r="H93" s="42"/>
      <c r="I93" s="41"/>
      <c r="J93" s="38">
        <f t="shared" si="173"/>
        <v>0</v>
      </c>
      <c r="K93" s="3">
        <f t="shared" si="174"/>
        <v>0</v>
      </c>
      <c r="L93" s="3">
        <f t="shared" si="175"/>
        <v>0</v>
      </c>
      <c r="M93" s="3">
        <f t="shared" ca="1" si="176"/>
        <v>-43647</v>
      </c>
      <c r="N93" s="3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6"/>
      <c r="DJ93" s="2"/>
      <c r="DK93" s="2"/>
      <c r="DL93" s="2"/>
      <c r="DM93" s="2"/>
    </row>
    <row r="94" spans="1:117" ht="18.5" thickBot="1" x14ac:dyDescent="0.6">
      <c r="A94" s="48"/>
      <c r="B94" s="39"/>
      <c r="C94" s="40"/>
      <c r="D94" s="41"/>
      <c r="E94" s="42"/>
      <c r="F94" s="42"/>
      <c r="G94" s="42"/>
      <c r="H94" s="42"/>
      <c r="I94" s="41"/>
      <c r="J94" s="38">
        <f t="shared" si="173"/>
        <v>0</v>
      </c>
      <c r="K94" s="3">
        <f t="shared" si="174"/>
        <v>0</v>
      </c>
      <c r="L94" s="3">
        <f t="shared" si="175"/>
        <v>0</v>
      </c>
      <c r="M94" s="3">
        <f t="shared" ca="1" si="176"/>
        <v>-43647</v>
      </c>
      <c r="N94" s="3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6"/>
      <c r="DJ94" s="2"/>
      <c r="DK94" s="2"/>
      <c r="DL94" s="2"/>
      <c r="DM94" s="2"/>
    </row>
    <row r="95" spans="1:117" ht="18.5" thickBot="1" x14ac:dyDescent="0.6">
      <c r="A95" s="48"/>
      <c r="B95" s="39"/>
      <c r="C95" s="40"/>
      <c r="D95" s="41"/>
      <c r="E95" s="42"/>
      <c r="F95" s="42"/>
      <c r="G95" s="42"/>
      <c r="H95" s="42"/>
      <c r="I95" s="41"/>
      <c r="J95" s="38">
        <f t="shared" si="173"/>
        <v>0</v>
      </c>
      <c r="K95" s="3">
        <f t="shared" si="174"/>
        <v>0</v>
      </c>
      <c r="L95" s="3">
        <f t="shared" si="175"/>
        <v>0</v>
      </c>
      <c r="M95" s="3">
        <f t="shared" ca="1" si="176"/>
        <v>-43647</v>
      </c>
      <c r="N95" s="3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6"/>
      <c r="DJ95" s="2"/>
      <c r="DK95" s="2"/>
      <c r="DL95" s="2"/>
      <c r="DM95" s="2"/>
    </row>
    <row r="96" spans="1:117" ht="18.5" thickBot="1" x14ac:dyDescent="0.6">
      <c r="A96" s="48"/>
      <c r="B96" s="39"/>
      <c r="C96" s="40"/>
      <c r="D96" s="41"/>
      <c r="E96" s="42"/>
      <c r="F96" s="42"/>
      <c r="G96" s="42"/>
      <c r="H96" s="42"/>
      <c r="I96" s="41"/>
      <c r="J96" s="38"/>
      <c r="K96" s="3"/>
      <c r="L96" s="3"/>
      <c r="M96" s="3"/>
      <c r="N96" s="3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6"/>
      <c r="DJ96" s="2"/>
      <c r="DK96" s="2"/>
      <c r="DL96" s="2"/>
      <c r="DM96" s="2"/>
    </row>
    <row r="97" spans="1:117" ht="18.5" thickBot="1" x14ac:dyDescent="0.6">
      <c r="A97" s="48"/>
      <c r="B97" s="39"/>
      <c r="C97" s="40"/>
      <c r="D97" s="41"/>
      <c r="E97" s="42"/>
      <c r="F97" s="42"/>
      <c r="G97" s="42"/>
      <c r="H97" s="42"/>
      <c r="I97" s="41"/>
      <c r="J97" s="38"/>
      <c r="K97" s="3"/>
      <c r="L97" s="3"/>
      <c r="M97" s="3"/>
      <c r="N97" s="3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6"/>
      <c r="DJ97" s="2"/>
      <c r="DK97" s="2"/>
      <c r="DL97" s="2"/>
      <c r="DM97" s="2"/>
    </row>
    <row r="98" spans="1:117" ht="18.5" thickBot="1" x14ac:dyDescent="0.6">
      <c r="A98" s="48"/>
      <c r="B98" s="39"/>
      <c r="C98" s="40"/>
      <c r="D98" s="41"/>
      <c r="E98" s="42"/>
      <c r="F98" s="42"/>
      <c r="G98" s="42"/>
      <c r="H98" s="42"/>
      <c r="I98" s="41"/>
      <c r="J98" s="38"/>
      <c r="K98" s="3"/>
      <c r="L98" s="3"/>
      <c r="M98" s="3"/>
      <c r="N98" s="3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6"/>
      <c r="DJ98" s="2"/>
      <c r="DK98" s="2"/>
      <c r="DL98" s="2"/>
      <c r="DM98" s="2"/>
    </row>
    <row r="99" spans="1:117" ht="18.5" thickBot="1" x14ac:dyDescent="0.6">
      <c r="A99" s="48"/>
      <c r="B99" s="39"/>
      <c r="C99" s="40"/>
      <c r="D99" s="41"/>
      <c r="E99" s="42"/>
      <c r="F99" s="42"/>
      <c r="G99" s="42"/>
      <c r="H99" s="42"/>
      <c r="I99" s="41"/>
      <c r="J99" s="38"/>
      <c r="K99" s="3"/>
      <c r="L99" s="3"/>
      <c r="M99" s="3"/>
      <c r="N99" s="3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6"/>
      <c r="DJ99" s="2"/>
      <c r="DK99" s="2"/>
      <c r="DL99" s="2"/>
      <c r="DM99" s="2"/>
    </row>
    <row r="100" spans="1:117" ht="18.5" thickBot="1" x14ac:dyDescent="0.6">
      <c r="A100" s="48"/>
      <c r="B100" s="39"/>
      <c r="C100" s="40"/>
      <c r="D100" s="41"/>
      <c r="E100" s="42"/>
      <c r="F100" s="42"/>
      <c r="G100" s="42"/>
      <c r="H100" s="42"/>
      <c r="I100" s="41"/>
      <c r="J100" s="38" t="s">
        <v>37</v>
      </c>
      <c r="K100" s="3"/>
      <c r="L100" s="3"/>
      <c r="M100" s="3"/>
      <c r="N100" s="3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6"/>
      <c r="DJ100" s="2"/>
      <c r="DK100" s="2"/>
      <c r="DL100" s="2"/>
      <c r="DM100" s="2"/>
    </row>
    <row r="101" spans="1:117" ht="18.5" thickBot="1" x14ac:dyDescent="0.6">
      <c r="A101" s="48"/>
      <c r="B101" s="39"/>
      <c r="C101" s="40"/>
      <c r="D101" s="41"/>
      <c r="E101" s="42"/>
      <c r="F101" s="42"/>
      <c r="G101" s="42"/>
      <c r="H101" s="42"/>
      <c r="I101" s="41"/>
      <c r="J101" s="38" t="s">
        <v>33</v>
      </c>
      <c r="K101" s="3"/>
      <c r="L101" s="3"/>
      <c r="M101" s="3"/>
      <c r="N101" s="3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6"/>
      <c r="DJ101" s="2"/>
      <c r="DK101" s="2"/>
      <c r="DL101" s="2"/>
      <c r="DM101" s="2"/>
    </row>
    <row r="102" spans="1:117" ht="18.5" thickBot="1" x14ac:dyDescent="0.6">
      <c r="A102" s="48"/>
      <c r="B102" s="39"/>
      <c r="C102" s="40"/>
      <c r="D102" s="41"/>
      <c r="E102" s="42"/>
      <c r="F102" s="42"/>
      <c r="G102" s="42"/>
      <c r="H102" s="42"/>
      <c r="I102" s="41"/>
      <c r="J102" s="38"/>
      <c r="K102" s="3"/>
      <c r="L102" s="3"/>
      <c r="M102" s="3"/>
      <c r="N102" s="3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6"/>
      <c r="DJ102" s="2"/>
      <c r="DK102" s="2"/>
      <c r="DL102" s="2"/>
      <c r="DM102" s="2"/>
    </row>
    <row r="103" spans="1:117" ht="18.5" thickBot="1" x14ac:dyDescent="0.6">
      <c r="A103" s="48"/>
      <c r="B103" s="39"/>
      <c r="C103" s="40"/>
      <c r="D103" s="41"/>
      <c r="E103" s="42"/>
      <c r="F103" s="42"/>
      <c r="G103" s="42"/>
      <c r="H103" s="42"/>
      <c r="I103" s="41"/>
      <c r="J103" s="38"/>
      <c r="K103" s="3"/>
      <c r="L103" s="3"/>
      <c r="M103" s="3"/>
      <c r="N103" s="3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6"/>
      <c r="DJ103" s="2"/>
      <c r="DK103" s="2"/>
      <c r="DL103" s="2"/>
      <c r="DM103" s="2"/>
    </row>
    <row r="104" spans="1:117" ht="18.5" thickBot="1" x14ac:dyDescent="0.6">
      <c r="A104" s="48"/>
      <c r="B104" s="39"/>
      <c r="C104" s="40"/>
      <c r="D104" s="41"/>
      <c r="E104" s="42"/>
      <c r="F104" s="42"/>
      <c r="G104" s="42"/>
      <c r="H104" s="42"/>
      <c r="I104" s="41"/>
      <c r="J104" s="38"/>
      <c r="K104" s="3"/>
      <c r="L104" s="3"/>
      <c r="M104" s="3"/>
      <c r="N104" s="3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6"/>
      <c r="DJ104" s="2"/>
      <c r="DK104" s="2"/>
      <c r="DL104" s="2"/>
      <c r="DM104" s="2"/>
    </row>
    <row r="105" spans="1:117" ht="18.5" thickBot="1" x14ac:dyDescent="0.6">
      <c r="A105" s="48"/>
      <c r="B105" s="39"/>
      <c r="C105" s="40"/>
      <c r="D105" s="41"/>
      <c r="E105" s="42"/>
      <c r="F105" s="42"/>
      <c r="G105" s="42"/>
      <c r="H105" s="42"/>
      <c r="I105" s="41"/>
      <c r="J105" s="38"/>
      <c r="K105" s="3"/>
      <c r="L105" s="3"/>
      <c r="M105" s="3"/>
      <c r="N105" s="3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6"/>
      <c r="DJ105" s="2"/>
      <c r="DK105" s="2"/>
      <c r="DL105" s="2"/>
      <c r="DM105" s="2"/>
    </row>
    <row r="106" spans="1:117" ht="18.5" thickBot="1" x14ac:dyDescent="0.6">
      <c r="A106" s="48"/>
      <c r="B106" s="39"/>
      <c r="C106" s="40"/>
      <c r="D106" s="41"/>
      <c r="E106" s="42"/>
      <c r="F106" s="42"/>
      <c r="G106" s="42"/>
      <c r="H106" s="42"/>
      <c r="I106" s="41"/>
      <c r="J106" s="38"/>
      <c r="K106" s="3"/>
      <c r="L106" s="3"/>
      <c r="M106" s="3"/>
      <c r="N106" s="3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6"/>
      <c r="DJ106" s="2"/>
      <c r="DK106" s="2"/>
      <c r="DL106" s="2"/>
      <c r="DM106" s="2"/>
    </row>
    <row r="107" spans="1:117" ht="18.5" thickBot="1" x14ac:dyDescent="0.6">
      <c r="A107" s="48"/>
      <c r="B107" s="39"/>
      <c r="C107" s="40"/>
      <c r="D107" s="41"/>
      <c r="E107" s="42"/>
      <c r="F107" s="42"/>
      <c r="G107" s="42"/>
      <c r="H107" s="42"/>
      <c r="I107" s="41"/>
      <c r="J107" s="38"/>
      <c r="K107" s="3"/>
      <c r="L107" s="3"/>
      <c r="M107" s="3"/>
      <c r="N107" s="3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6"/>
      <c r="DJ107" s="2"/>
      <c r="DK107" s="2"/>
      <c r="DL107" s="2"/>
      <c r="DM107" s="2"/>
    </row>
    <row r="108" spans="1:117" ht="18.5" thickBot="1" x14ac:dyDescent="0.6">
      <c r="A108" s="48"/>
      <c r="B108" s="39"/>
      <c r="C108" s="40"/>
      <c r="D108" s="41"/>
      <c r="E108" s="42"/>
      <c r="F108" s="42"/>
      <c r="G108" s="42"/>
      <c r="H108" s="42"/>
      <c r="I108" s="41"/>
      <c r="J108" s="38"/>
      <c r="K108" s="3"/>
      <c r="L108" s="3"/>
      <c r="M108" s="3"/>
      <c r="N108" s="3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6"/>
      <c r="DJ108" s="2"/>
      <c r="DK108" s="2"/>
      <c r="DL108" s="2"/>
      <c r="DM108" s="2"/>
    </row>
    <row r="109" spans="1:117" ht="18.5" thickBot="1" x14ac:dyDescent="0.6">
      <c r="A109" s="48"/>
      <c r="B109" s="39"/>
      <c r="C109" s="40"/>
      <c r="D109" s="41"/>
      <c r="E109" s="42"/>
      <c r="F109" s="42"/>
      <c r="G109" s="42"/>
      <c r="H109" s="42"/>
      <c r="I109" s="41"/>
      <c r="J109" s="38"/>
      <c r="K109" s="3"/>
      <c r="L109" s="3"/>
      <c r="M109" s="3"/>
      <c r="N109" s="3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6"/>
      <c r="DJ109" s="2"/>
      <c r="DK109" s="2"/>
      <c r="DL109" s="2"/>
      <c r="DM109" s="2"/>
    </row>
    <row r="110" spans="1:117" ht="18.5" thickBot="1" x14ac:dyDescent="0.6">
      <c r="A110" s="48"/>
      <c r="B110" s="39"/>
      <c r="C110" s="40"/>
      <c r="D110" s="41"/>
      <c r="E110" s="42"/>
      <c r="F110" s="42"/>
      <c r="G110" s="42"/>
      <c r="H110" s="42"/>
      <c r="I110" s="41"/>
      <c r="J110" s="38"/>
      <c r="K110" s="3"/>
      <c r="L110" s="3"/>
      <c r="M110" s="3"/>
      <c r="N110" s="3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6"/>
      <c r="DJ110" s="2"/>
      <c r="DK110" s="2"/>
      <c r="DL110" s="2"/>
      <c r="DM110" s="2"/>
    </row>
    <row r="111" spans="1:117" ht="18.5" thickBot="1" x14ac:dyDescent="0.6">
      <c r="A111" s="48"/>
      <c r="B111" s="39"/>
      <c r="C111" s="40"/>
      <c r="D111" s="41"/>
      <c r="E111" s="42"/>
      <c r="F111" s="42"/>
      <c r="G111" s="42"/>
      <c r="H111" s="42"/>
      <c r="I111" s="41"/>
      <c r="J111" s="38"/>
      <c r="K111" s="3"/>
      <c r="L111" s="3"/>
      <c r="M111" s="3"/>
      <c r="N111" s="3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6"/>
      <c r="DJ111" s="2"/>
      <c r="DK111" s="2"/>
      <c r="DL111" s="2"/>
      <c r="DM111" s="2"/>
    </row>
    <row r="112" spans="1:117" ht="18.5" thickBot="1" x14ac:dyDescent="0.6">
      <c r="A112" s="48"/>
      <c r="B112" s="39"/>
      <c r="C112" s="40"/>
      <c r="D112" s="41"/>
      <c r="E112" s="42"/>
      <c r="F112" s="42"/>
      <c r="G112" s="42"/>
      <c r="H112" s="42"/>
      <c r="I112" s="41"/>
      <c r="J112" s="38"/>
      <c r="K112" s="3"/>
      <c r="L112" s="3"/>
      <c r="M112" s="3"/>
      <c r="N112" s="3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6"/>
      <c r="DJ112" s="2"/>
      <c r="DK112" s="2"/>
      <c r="DL112" s="2"/>
      <c r="DM112" s="2"/>
    </row>
    <row r="113" spans="1:117" ht="18.5" thickBot="1" x14ac:dyDescent="0.6">
      <c r="A113" s="48"/>
      <c r="B113" s="39"/>
      <c r="C113" s="40"/>
      <c r="D113" s="41"/>
      <c r="E113" s="42"/>
      <c r="F113" s="42"/>
      <c r="G113" s="42"/>
      <c r="H113" s="42"/>
      <c r="I113" s="41"/>
      <c r="J113" s="38"/>
      <c r="K113" s="3"/>
      <c r="L113" s="3"/>
      <c r="M113" s="3"/>
      <c r="N113" s="3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6"/>
      <c r="DJ113" s="2"/>
      <c r="DK113" s="2"/>
      <c r="DL113" s="2"/>
      <c r="DM113" s="2"/>
    </row>
    <row r="114" spans="1:117" ht="18.5" thickBot="1" x14ac:dyDescent="0.6">
      <c r="A114" s="48"/>
      <c r="B114" s="39"/>
      <c r="C114" s="40"/>
      <c r="D114" s="41"/>
      <c r="E114" s="42"/>
      <c r="F114" s="42"/>
      <c r="G114" s="42"/>
      <c r="H114" s="42"/>
      <c r="I114" s="41"/>
      <c r="J114" s="38"/>
      <c r="K114" s="3"/>
      <c r="L114" s="3"/>
      <c r="M114" s="3"/>
      <c r="N114" s="3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6"/>
      <c r="DJ114" s="2"/>
      <c r="DK114" s="2"/>
      <c r="DL114" s="2"/>
      <c r="DM114" s="2"/>
    </row>
    <row r="115" spans="1:117" ht="18.5" thickBot="1" x14ac:dyDescent="0.6">
      <c r="A115" s="48"/>
      <c r="B115" s="39"/>
      <c r="C115" s="40"/>
      <c r="D115" s="41"/>
      <c r="E115" s="42"/>
      <c r="F115" s="42"/>
      <c r="G115" s="42"/>
      <c r="H115" s="42"/>
      <c r="I115" s="41"/>
      <c r="J115" s="38"/>
      <c r="K115" s="3"/>
      <c r="L115" s="3"/>
      <c r="M115" s="3"/>
      <c r="N115" s="3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6"/>
      <c r="DJ115" s="2"/>
      <c r="DK115" s="2"/>
      <c r="DL115" s="2"/>
      <c r="DM115" s="2"/>
    </row>
    <row r="116" spans="1:117" ht="18.5" thickBot="1" x14ac:dyDescent="0.6">
      <c r="A116" s="48"/>
      <c r="B116" s="39"/>
      <c r="C116" s="40"/>
      <c r="D116" s="41"/>
      <c r="E116" s="42"/>
      <c r="F116" s="42"/>
      <c r="G116" s="42"/>
      <c r="H116" s="42"/>
      <c r="I116" s="41"/>
      <c r="J116" s="38"/>
      <c r="K116" s="3"/>
      <c r="L116" s="3"/>
      <c r="M116" s="3"/>
      <c r="N116" s="3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6"/>
      <c r="DJ116" s="2"/>
      <c r="DK116" s="2"/>
      <c r="DL116" s="2"/>
      <c r="DM116" s="2"/>
    </row>
    <row r="117" spans="1:117" ht="18.5" thickBot="1" x14ac:dyDescent="0.6">
      <c r="A117" s="48"/>
      <c r="B117" s="39"/>
      <c r="C117" s="40"/>
      <c r="D117" s="41"/>
      <c r="E117" s="42"/>
      <c r="F117" s="42"/>
      <c r="G117" s="42"/>
      <c r="H117" s="42"/>
      <c r="I117" s="41"/>
      <c r="J117" s="38"/>
      <c r="K117" s="3"/>
      <c r="L117" s="3"/>
      <c r="M117" s="3"/>
      <c r="N117" s="3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6"/>
      <c r="DJ117" s="2"/>
      <c r="DK117" s="2"/>
      <c r="DL117" s="2"/>
      <c r="DM117" s="2"/>
    </row>
    <row r="118" spans="1:117" ht="18.5" thickBot="1" x14ac:dyDescent="0.6">
      <c r="A118" s="48"/>
      <c r="B118" s="39"/>
      <c r="C118" s="40"/>
      <c r="D118" s="41"/>
      <c r="E118" s="42"/>
      <c r="F118" s="42"/>
      <c r="G118" s="42"/>
      <c r="H118" s="42"/>
      <c r="I118" s="41"/>
      <c r="J118" s="38"/>
      <c r="K118" s="3"/>
      <c r="L118" s="3"/>
      <c r="M118" s="3"/>
      <c r="N118" s="3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6"/>
      <c r="DJ118" s="2"/>
      <c r="DK118" s="2"/>
      <c r="DL118" s="2"/>
      <c r="DM118" s="2"/>
    </row>
    <row r="119" spans="1:117" ht="18.5" thickBot="1" x14ac:dyDescent="0.6">
      <c r="A119" s="48"/>
      <c r="B119" s="39"/>
      <c r="C119" s="40"/>
      <c r="D119" s="41"/>
      <c r="E119" s="42"/>
      <c r="F119" s="42"/>
      <c r="G119" s="42"/>
      <c r="H119" s="42"/>
      <c r="I119" s="41"/>
      <c r="J119" s="38"/>
      <c r="K119" s="3"/>
      <c r="L119" s="3"/>
      <c r="M119" s="3"/>
      <c r="N119" s="3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6"/>
      <c r="DJ119" s="2"/>
      <c r="DK119" s="2"/>
      <c r="DL119" s="2"/>
      <c r="DM119" s="2"/>
    </row>
    <row r="120" spans="1:117" ht="18.5" thickBot="1" x14ac:dyDescent="0.6">
      <c r="A120" s="48"/>
      <c r="B120" s="39"/>
      <c r="C120" s="40"/>
      <c r="D120" s="41"/>
      <c r="E120" s="42"/>
      <c r="F120" s="42"/>
      <c r="G120" s="42"/>
      <c r="H120" s="42"/>
      <c r="I120" s="41"/>
      <c r="J120" s="38"/>
      <c r="K120" s="3"/>
      <c r="L120" s="3"/>
      <c r="M120" s="3"/>
      <c r="N120" s="3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6"/>
      <c r="DJ120" s="2"/>
      <c r="DK120" s="2"/>
      <c r="DL120" s="2"/>
      <c r="DM120" s="2"/>
    </row>
    <row r="121" spans="1:117" ht="18.5" thickBot="1" x14ac:dyDescent="0.6">
      <c r="A121" s="48"/>
      <c r="B121" s="39"/>
      <c r="C121" s="40"/>
      <c r="D121" s="41"/>
      <c r="E121" s="42"/>
      <c r="F121" s="42"/>
      <c r="G121" s="42"/>
      <c r="H121" s="42"/>
      <c r="I121" s="41"/>
      <c r="J121" s="38"/>
      <c r="K121" s="3"/>
      <c r="L121" s="3"/>
      <c r="M121" s="3"/>
      <c r="N121" s="3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6"/>
      <c r="DJ121" s="2"/>
      <c r="DK121" s="2"/>
      <c r="DL121" s="2"/>
      <c r="DM121" s="2"/>
    </row>
    <row r="122" spans="1:117" ht="18.5" thickBot="1" x14ac:dyDescent="0.6">
      <c r="A122" s="48"/>
      <c r="B122" s="39"/>
      <c r="C122" s="40"/>
      <c r="D122" s="41"/>
      <c r="E122" s="42"/>
      <c r="F122" s="42"/>
      <c r="G122" s="42"/>
      <c r="H122" s="42"/>
      <c r="I122" s="41"/>
      <c r="J122" s="38"/>
      <c r="K122" s="3"/>
      <c r="L122" s="3"/>
      <c r="M122" s="3"/>
      <c r="N122" s="3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6"/>
      <c r="DJ122" s="2"/>
      <c r="DK122" s="2"/>
      <c r="DL122" s="2"/>
      <c r="DM122" s="2"/>
    </row>
    <row r="123" spans="1:117" ht="18.5" thickBot="1" x14ac:dyDescent="0.6">
      <c r="A123" s="48"/>
      <c r="B123" s="39"/>
      <c r="C123" s="40"/>
      <c r="D123" s="41"/>
      <c r="E123" s="42"/>
      <c r="F123" s="42"/>
      <c r="G123" s="42"/>
      <c r="H123" s="42"/>
      <c r="I123" s="41"/>
      <c r="J123" s="38"/>
      <c r="K123" s="3"/>
      <c r="L123" s="3"/>
      <c r="M123" s="3"/>
      <c r="N123" s="3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6"/>
      <c r="DJ123" s="2"/>
      <c r="DK123" s="2"/>
      <c r="DL123" s="2"/>
      <c r="DM123" s="2"/>
    </row>
    <row r="124" spans="1:117" ht="18.5" thickBot="1" x14ac:dyDescent="0.6">
      <c r="A124" s="48"/>
      <c r="B124" s="39"/>
      <c r="C124" s="40"/>
      <c r="D124" s="41"/>
      <c r="E124" s="42"/>
      <c r="F124" s="42"/>
      <c r="G124" s="42"/>
      <c r="H124" s="42"/>
      <c r="I124" s="41"/>
      <c r="J124" s="38"/>
      <c r="K124" s="3"/>
      <c r="L124" s="3"/>
      <c r="M124" s="3"/>
      <c r="N124" s="3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6"/>
      <c r="DJ124" s="2"/>
      <c r="DK124" s="2"/>
      <c r="DL124" s="2"/>
      <c r="DM124" s="2"/>
    </row>
    <row r="125" spans="1:117" ht="18.5" thickBot="1" x14ac:dyDescent="0.6">
      <c r="A125" s="48"/>
      <c r="B125" s="39"/>
      <c r="C125" s="40"/>
      <c r="D125" s="41"/>
      <c r="E125" s="42"/>
      <c r="F125" s="42"/>
      <c r="G125" s="42"/>
      <c r="H125" s="42"/>
      <c r="I125" s="41"/>
      <c r="J125" s="38"/>
      <c r="K125" s="3"/>
      <c r="L125" s="3"/>
      <c r="M125" s="3"/>
      <c r="N125" s="3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6"/>
      <c r="DJ125" s="2"/>
      <c r="DK125" s="2"/>
      <c r="DL125" s="2"/>
      <c r="DM125" s="2"/>
    </row>
    <row r="126" spans="1:117" ht="18.5" thickBot="1" x14ac:dyDescent="0.6">
      <c r="A126" s="48"/>
      <c r="B126" s="39"/>
      <c r="C126" s="40"/>
      <c r="D126" s="41"/>
      <c r="E126" s="42"/>
      <c r="F126" s="42"/>
      <c r="G126" s="42"/>
      <c r="H126" s="42"/>
      <c r="I126" s="41"/>
      <c r="J126" s="38"/>
      <c r="K126" s="3"/>
      <c r="L126" s="3"/>
      <c r="M126" s="3"/>
      <c r="N126" s="3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6"/>
      <c r="DJ126" s="2"/>
      <c r="DK126" s="2"/>
      <c r="DL126" s="2"/>
      <c r="DM126" s="2"/>
    </row>
    <row r="127" spans="1:117" ht="18.5" thickBot="1" x14ac:dyDescent="0.6">
      <c r="A127" s="48"/>
      <c r="B127" s="39"/>
      <c r="C127" s="40"/>
      <c r="D127" s="41"/>
      <c r="E127" s="42"/>
      <c r="F127" s="42"/>
      <c r="G127" s="42"/>
      <c r="H127" s="42"/>
      <c r="I127" s="41"/>
      <c r="J127" s="38"/>
      <c r="K127" s="3"/>
      <c r="L127" s="3"/>
      <c r="M127" s="3"/>
      <c r="N127" s="3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6"/>
      <c r="DJ127" s="2"/>
      <c r="DK127" s="2"/>
      <c r="DL127" s="2"/>
      <c r="DM127" s="2"/>
    </row>
    <row r="128" spans="1:117" ht="18.5" thickBot="1" x14ac:dyDescent="0.6">
      <c r="A128" s="48"/>
      <c r="B128" s="39"/>
      <c r="C128" s="40"/>
      <c r="D128" s="41"/>
      <c r="E128" s="42"/>
      <c r="F128" s="42"/>
      <c r="G128" s="42"/>
      <c r="H128" s="42"/>
      <c r="I128" s="41"/>
      <c r="J128" s="38"/>
      <c r="K128" s="3"/>
      <c r="L128" s="3"/>
      <c r="M128" s="3"/>
      <c r="N128" s="3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6"/>
      <c r="DJ128" s="2"/>
      <c r="DK128" s="2"/>
      <c r="DL128" s="2"/>
      <c r="DM128" s="2"/>
    </row>
    <row r="129" spans="1:117" ht="18.5" thickBot="1" x14ac:dyDescent="0.6">
      <c r="A129" s="48"/>
      <c r="B129" s="39"/>
      <c r="C129" s="40"/>
      <c r="D129" s="41"/>
      <c r="E129" s="42"/>
      <c r="F129" s="42"/>
      <c r="G129" s="42"/>
      <c r="H129" s="42"/>
      <c r="I129" s="41"/>
      <c r="J129" s="38"/>
      <c r="K129" s="3"/>
      <c r="L129" s="3"/>
      <c r="M129" s="3"/>
      <c r="N129" s="3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6"/>
      <c r="DJ129" s="2"/>
      <c r="DK129" s="2"/>
      <c r="DL129" s="2"/>
      <c r="DM129" s="2"/>
    </row>
    <row r="130" spans="1:117" ht="18.5" thickBot="1" x14ac:dyDescent="0.6">
      <c r="A130" s="48"/>
      <c r="B130" s="39"/>
      <c r="C130" s="40"/>
      <c r="D130" s="41"/>
      <c r="E130" s="42"/>
      <c r="F130" s="42"/>
      <c r="G130" s="42"/>
      <c r="H130" s="42"/>
      <c r="I130" s="41"/>
      <c r="J130" s="38"/>
      <c r="K130" s="3"/>
      <c r="L130" s="3"/>
      <c r="M130" s="3"/>
      <c r="N130" s="3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6"/>
      <c r="DJ130" s="2"/>
      <c r="DK130" s="2"/>
      <c r="DL130" s="2"/>
      <c r="DM130" s="2"/>
    </row>
    <row r="131" spans="1:117" ht="18.5" thickBot="1" x14ac:dyDescent="0.6">
      <c r="A131" s="48"/>
      <c r="B131" s="39"/>
      <c r="C131" s="40"/>
      <c r="D131" s="41"/>
      <c r="E131" s="42"/>
      <c r="F131" s="42"/>
      <c r="G131" s="42"/>
      <c r="H131" s="42"/>
      <c r="I131" s="41"/>
      <c r="J131" s="38"/>
      <c r="K131" s="3"/>
      <c r="L131" s="3"/>
      <c r="M131" s="3"/>
      <c r="N131" s="3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6"/>
      <c r="DJ131" s="2"/>
      <c r="DK131" s="2"/>
      <c r="DL131" s="2"/>
      <c r="DM131" s="2"/>
    </row>
    <row r="132" spans="1:117" ht="18.5" thickBot="1" x14ac:dyDescent="0.6">
      <c r="A132" s="48"/>
      <c r="B132" s="39"/>
      <c r="C132" s="40"/>
      <c r="D132" s="41"/>
      <c r="E132" s="42"/>
      <c r="F132" s="42"/>
      <c r="G132" s="42"/>
      <c r="H132" s="42"/>
      <c r="I132" s="41"/>
      <c r="J132" s="38"/>
      <c r="K132" s="3"/>
      <c r="L132" s="3"/>
      <c r="M132" s="3"/>
      <c r="N132" s="3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6"/>
      <c r="DJ132" s="2"/>
      <c r="DK132" s="2"/>
      <c r="DL132" s="2"/>
      <c r="DM132" s="2"/>
    </row>
    <row r="133" spans="1:117" ht="18.5" thickBot="1" x14ac:dyDescent="0.6">
      <c r="A133" s="48"/>
      <c r="B133" s="39"/>
      <c r="C133" s="40"/>
      <c r="D133" s="41"/>
      <c r="E133" s="42"/>
      <c r="F133" s="42"/>
      <c r="G133" s="42"/>
      <c r="H133" s="42"/>
      <c r="I133" s="41"/>
      <c r="J133" s="38"/>
      <c r="K133" s="3"/>
      <c r="L133" s="3"/>
      <c r="M133" s="3"/>
      <c r="N133" s="3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6"/>
      <c r="DJ133" s="2"/>
      <c r="DK133" s="2"/>
      <c r="DL133" s="2"/>
      <c r="DM133" s="2"/>
    </row>
    <row r="134" spans="1:117" ht="18.5" thickBot="1" x14ac:dyDescent="0.6">
      <c r="A134" s="48"/>
      <c r="B134" s="39"/>
      <c r="C134" s="40"/>
      <c r="D134" s="41"/>
      <c r="E134" s="42"/>
      <c r="F134" s="42"/>
      <c r="G134" s="42"/>
      <c r="H134" s="42"/>
      <c r="I134" s="41"/>
      <c r="J134" s="38"/>
      <c r="K134" s="3"/>
      <c r="L134" s="3"/>
      <c r="M134" s="3"/>
      <c r="N134" s="3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6"/>
      <c r="DJ134" s="2"/>
      <c r="DK134" s="2"/>
      <c r="DL134" s="2"/>
      <c r="DM134" s="2"/>
    </row>
    <row r="135" spans="1:117" ht="18.5" thickBot="1" x14ac:dyDescent="0.6">
      <c r="A135" s="48"/>
      <c r="B135" s="39"/>
      <c r="C135" s="40"/>
      <c r="D135" s="41"/>
      <c r="E135" s="42"/>
      <c r="F135" s="42"/>
      <c r="G135" s="42"/>
      <c r="H135" s="42"/>
      <c r="I135" s="41"/>
      <c r="J135" s="38"/>
      <c r="K135" s="3"/>
      <c r="L135" s="3"/>
      <c r="M135" s="3"/>
      <c r="N135" s="3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6"/>
      <c r="DJ135" s="2"/>
      <c r="DK135" s="2"/>
      <c r="DL135" s="2"/>
      <c r="DM135" s="2"/>
    </row>
    <row r="136" spans="1:117" ht="18.5" thickBot="1" x14ac:dyDescent="0.6">
      <c r="A136" s="48"/>
      <c r="B136" s="39"/>
      <c r="C136" s="40"/>
      <c r="D136" s="41"/>
      <c r="E136" s="42"/>
      <c r="F136" s="42"/>
      <c r="G136" s="42"/>
      <c r="H136" s="42"/>
      <c r="I136" s="41"/>
      <c r="J136" s="38"/>
      <c r="K136" s="3"/>
      <c r="L136" s="3"/>
      <c r="M136" s="3"/>
      <c r="N136" s="3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6"/>
      <c r="DJ136" s="2"/>
      <c r="DK136" s="2"/>
      <c r="DL136" s="2"/>
      <c r="DM136" s="2"/>
    </row>
    <row r="137" spans="1:117" ht="18.5" thickBot="1" x14ac:dyDescent="0.6">
      <c r="A137" s="48"/>
      <c r="B137" s="39"/>
      <c r="C137" s="40"/>
      <c r="D137" s="41"/>
      <c r="E137" s="42"/>
      <c r="F137" s="42"/>
      <c r="G137" s="42"/>
      <c r="H137" s="42"/>
      <c r="I137" s="41"/>
      <c r="J137" s="38"/>
      <c r="K137" s="3"/>
      <c r="L137" s="3"/>
      <c r="M137" s="3"/>
      <c r="N137" s="3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6"/>
      <c r="DJ137" s="2"/>
      <c r="DK137" s="2"/>
      <c r="DL137" s="2"/>
      <c r="DM137" s="2"/>
    </row>
    <row r="138" spans="1:117" ht="18.5" thickBot="1" x14ac:dyDescent="0.6">
      <c r="A138" s="48"/>
      <c r="B138" s="39"/>
      <c r="C138" s="40"/>
      <c r="D138" s="41"/>
      <c r="E138" s="42"/>
      <c r="F138" s="42"/>
      <c r="G138" s="42"/>
      <c r="H138" s="42"/>
      <c r="I138" s="41"/>
      <c r="J138" s="38"/>
      <c r="K138" s="3"/>
      <c r="L138" s="3"/>
      <c r="M138" s="3"/>
      <c r="N138" s="3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6"/>
      <c r="DJ138" s="2"/>
      <c r="DK138" s="2"/>
      <c r="DL138" s="2"/>
      <c r="DM138" s="2"/>
    </row>
    <row r="139" spans="1:117" ht="18.5" thickBot="1" x14ac:dyDescent="0.6">
      <c r="A139" s="48"/>
      <c r="B139" s="39"/>
      <c r="C139" s="40"/>
      <c r="D139" s="41"/>
      <c r="E139" s="42"/>
      <c r="F139" s="42"/>
      <c r="G139" s="42"/>
      <c r="H139" s="42"/>
      <c r="I139" s="41"/>
      <c r="J139" s="38"/>
      <c r="K139" s="3"/>
      <c r="L139" s="3"/>
      <c r="M139" s="3"/>
      <c r="N139" s="3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6"/>
      <c r="DJ139" s="2"/>
      <c r="DK139" s="2"/>
      <c r="DL139" s="2"/>
      <c r="DM139" s="2"/>
    </row>
    <row r="140" spans="1:117" ht="18.5" thickBot="1" x14ac:dyDescent="0.6">
      <c r="A140" s="48"/>
      <c r="B140" s="39"/>
      <c r="C140" s="40"/>
      <c r="D140" s="41"/>
      <c r="E140" s="42"/>
      <c r="F140" s="42"/>
      <c r="G140" s="42"/>
      <c r="H140" s="42"/>
      <c r="I140" s="41"/>
      <c r="J140" s="38"/>
      <c r="K140" s="3"/>
      <c r="L140" s="3"/>
      <c r="M140" s="3"/>
      <c r="N140" s="3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6"/>
      <c r="DJ140" s="2"/>
      <c r="DK140" s="2"/>
      <c r="DL140" s="2"/>
      <c r="DM140" s="2"/>
    </row>
    <row r="141" spans="1:117" ht="18.5" thickBot="1" x14ac:dyDescent="0.6">
      <c r="A141" s="48"/>
      <c r="B141" s="39"/>
      <c r="C141" s="40"/>
      <c r="D141" s="41"/>
      <c r="E141" s="42"/>
      <c r="F141" s="42"/>
      <c r="G141" s="42"/>
      <c r="H141" s="42"/>
      <c r="I141" s="41"/>
      <c r="J141" s="38"/>
      <c r="K141" s="3"/>
      <c r="L141" s="3"/>
      <c r="M141" s="3"/>
      <c r="N141" s="3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6"/>
      <c r="DJ141" s="2"/>
      <c r="DK141" s="2"/>
      <c r="DL141" s="2"/>
      <c r="DM141" s="2"/>
    </row>
    <row r="142" spans="1:117" ht="18.5" thickBot="1" x14ac:dyDescent="0.6">
      <c r="A142" s="48"/>
      <c r="B142" s="39"/>
      <c r="C142" s="40"/>
      <c r="D142" s="41"/>
      <c r="E142" s="42"/>
      <c r="F142" s="42"/>
      <c r="G142" s="42"/>
      <c r="H142" s="42"/>
      <c r="I142" s="41"/>
      <c r="J142" s="38"/>
      <c r="K142" s="3"/>
      <c r="L142" s="3"/>
      <c r="M142" s="3"/>
      <c r="N142" s="3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6"/>
      <c r="DJ142" s="2"/>
      <c r="DK142" s="2"/>
      <c r="DL142" s="2"/>
      <c r="DM142" s="2"/>
    </row>
    <row r="143" spans="1:117" ht="18.5" thickBot="1" x14ac:dyDescent="0.6">
      <c r="A143" s="48"/>
      <c r="B143" s="39"/>
      <c r="C143" s="40"/>
      <c r="D143" s="41"/>
      <c r="E143" s="42"/>
      <c r="F143" s="42"/>
      <c r="G143" s="42"/>
      <c r="H143" s="42"/>
      <c r="I143" s="41"/>
      <c r="J143" s="38"/>
      <c r="K143" s="3"/>
      <c r="L143" s="3"/>
      <c r="M143" s="3"/>
      <c r="N143" s="3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6"/>
      <c r="DJ143" s="2"/>
      <c r="DK143" s="2"/>
      <c r="DL143" s="2"/>
      <c r="DM143" s="2"/>
    </row>
    <row r="144" spans="1:117" ht="18.5" thickBot="1" x14ac:dyDescent="0.6">
      <c r="A144" s="48"/>
      <c r="B144" s="39"/>
      <c r="C144" s="40"/>
      <c r="D144" s="41"/>
      <c r="E144" s="42"/>
      <c r="F144" s="42"/>
      <c r="G144" s="42"/>
      <c r="H144" s="42"/>
      <c r="I144" s="41"/>
      <c r="J144" s="38"/>
      <c r="K144" s="3"/>
      <c r="L144" s="3"/>
      <c r="M144" s="3"/>
      <c r="N144" s="3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6"/>
      <c r="DJ144" s="2"/>
      <c r="DK144" s="2"/>
      <c r="DL144" s="2"/>
      <c r="DM144" s="2"/>
    </row>
    <row r="145" spans="1:117" ht="18.5" thickBot="1" x14ac:dyDescent="0.6">
      <c r="A145" s="48"/>
      <c r="B145" s="39"/>
      <c r="C145" s="40"/>
      <c r="D145" s="41"/>
      <c r="E145" s="42"/>
      <c r="F145" s="42"/>
      <c r="G145" s="42"/>
      <c r="H145" s="42"/>
      <c r="I145" s="41"/>
      <c r="J145" s="38"/>
      <c r="K145" s="3"/>
      <c r="L145" s="3"/>
      <c r="M145" s="3"/>
      <c r="N145" s="3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6"/>
      <c r="DJ145" s="2"/>
      <c r="DK145" s="2"/>
      <c r="DL145" s="2"/>
      <c r="DM145" s="2"/>
    </row>
    <row r="146" spans="1:117" ht="18.5" thickBot="1" x14ac:dyDescent="0.6">
      <c r="A146" s="48"/>
      <c r="B146" s="39"/>
      <c r="C146" s="40"/>
      <c r="D146" s="41"/>
      <c r="E146" s="42"/>
      <c r="F146" s="42"/>
      <c r="G146" s="42"/>
      <c r="H146" s="42"/>
      <c r="I146" s="41"/>
      <c r="J146" s="38"/>
      <c r="K146" s="3"/>
      <c r="L146" s="3"/>
      <c r="M146" s="3"/>
      <c r="N146" s="3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6"/>
      <c r="DJ146" s="2"/>
      <c r="DK146" s="2"/>
      <c r="DL146" s="2"/>
      <c r="DM146" s="2"/>
    </row>
    <row r="147" spans="1:117" ht="18.5" thickBot="1" x14ac:dyDescent="0.6">
      <c r="A147" s="48"/>
      <c r="B147" s="39"/>
      <c r="C147" s="40"/>
      <c r="D147" s="41"/>
      <c r="E147" s="42"/>
      <c r="F147" s="42"/>
      <c r="G147" s="42"/>
      <c r="H147" s="42"/>
      <c r="I147" s="41"/>
      <c r="J147" s="38"/>
      <c r="K147" s="3"/>
      <c r="L147" s="3"/>
      <c r="M147" s="3"/>
      <c r="N147" s="3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6"/>
      <c r="DJ147" s="2"/>
      <c r="DK147" s="2"/>
      <c r="DL147" s="2"/>
      <c r="DM147" s="2"/>
    </row>
    <row r="148" spans="1:117" ht="18.5" thickBot="1" x14ac:dyDescent="0.6">
      <c r="A148" s="48"/>
      <c r="B148" s="39"/>
      <c r="C148" s="40"/>
      <c r="D148" s="41"/>
      <c r="E148" s="42"/>
      <c r="F148" s="42"/>
      <c r="G148" s="42"/>
      <c r="H148" s="42"/>
      <c r="I148" s="41"/>
      <c r="J148" s="38"/>
      <c r="K148" s="3"/>
      <c r="L148" s="3"/>
      <c r="M148" s="3"/>
      <c r="N148" s="3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6"/>
      <c r="DJ148" s="2"/>
      <c r="DK148" s="2"/>
      <c r="DL148" s="2"/>
      <c r="DM148" s="2"/>
    </row>
    <row r="149" spans="1:117" ht="18.5" thickBot="1" x14ac:dyDescent="0.6">
      <c r="A149" s="48"/>
      <c r="B149" s="39"/>
      <c r="C149" s="40"/>
      <c r="D149" s="41"/>
      <c r="E149" s="42"/>
      <c r="F149" s="42"/>
      <c r="G149" s="42"/>
      <c r="H149" s="42"/>
      <c r="I149" s="41"/>
      <c r="J149" s="38"/>
      <c r="K149" s="3"/>
      <c r="L149" s="3"/>
      <c r="M149" s="3"/>
      <c r="N149" s="3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6"/>
      <c r="DJ149" s="2"/>
      <c r="DK149" s="2"/>
      <c r="DL149" s="2"/>
      <c r="DM149" s="2"/>
    </row>
    <row r="150" spans="1:117" ht="18.5" thickBot="1" x14ac:dyDescent="0.6">
      <c r="A150" s="48"/>
      <c r="B150" s="39"/>
      <c r="C150" s="40"/>
      <c r="D150" s="41"/>
      <c r="E150" s="42"/>
      <c r="F150" s="42"/>
      <c r="G150" s="42"/>
      <c r="H150" s="42"/>
      <c r="I150" s="41"/>
      <c r="J150" s="38"/>
      <c r="K150" s="3"/>
      <c r="L150" s="3"/>
      <c r="M150" s="3"/>
      <c r="N150" s="3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6"/>
      <c r="DJ150" s="2"/>
      <c r="DK150" s="2"/>
      <c r="DL150" s="2"/>
      <c r="DM150" s="2"/>
    </row>
    <row r="151" spans="1:117" ht="18.5" thickBot="1" x14ac:dyDescent="0.6">
      <c r="A151" s="48"/>
      <c r="B151" s="39"/>
      <c r="C151" s="40"/>
      <c r="D151" s="41"/>
      <c r="E151" s="42"/>
      <c r="F151" s="42"/>
      <c r="G151" s="42"/>
      <c r="H151" s="42"/>
      <c r="I151" s="41"/>
      <c r="J151" s="38"/>
      <c r="K151" s="3"/>
      <c r="L151" s="3"/>
      <c r="M151" s="3"/>
      <c r="N151" s="3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6"/>
      <c r="DJ151" s="2"/>
      <c r="DK151" s="2"/>
      <c r="DL151" s="2"/>
      <c r="DM151" s="2"/>
    </row>
    <row r="152" spans="1:117" ht="18.5" thickBot="1" x14ac:dyDescent="0.6">
      <c r="A152" s="48"/>
      <c r="B152" s="39"/>
      <c r="C152" s="40"/>
      <c r="D152" s="41"/>
      <c r="E152" s="42"/>
      <c r="F152" s="42"/>
      <c r="G152" s="42"/>
      <c r="H152" s="42"/>
      <c r="I152" s="41"/>
      <c r="J152" s="38"/>
      <c r="K152" s="3"/>
      <c r="L152" s="3"/>
      <c r="M152" s="3"/>
      <c r="N152" s="3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6"/>
      <c r="DJ152" s="2"/>
      <c r="DK152" s="2"/>
      <c r="DL152" s="2"/>
      <c r="DM152" s="2"/>
    </row>
    <row r="153" spans="1:117" ht="18.5" thickBot="1" x14ac:dyDescent="0.6">
      <c r="A153" s="48"/>
      <c r="B153" s="39"/>
      <c r="C153" s="40"/>
      <c r="D153" s="41"/>
      <c r="E153" s="42"/>
      <c r="F153" s="42"/>
      <c r="G153" s="42"/>
      <c r="H153" s="42"/>
      <c r="I153" s="41"/>
      <c r="J153" s="38"/>
      <c r="K153" s="3"/>
      <c r="L153" s="3"/>
      <c r="M153" s="3"/>
      <c r="N153" s="3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5"/>
      <c r="BH153" s="2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BY153" s="25"/>
      <c r="BZ153" s="25"/>
      <c r="CA153" s="25"/>
      <c r="CB153" s="25"/>
      <c r="CC153" s="25"/>
      <c r="CD153" s="25"/>
      <c r="CE153" s="25"/>
      <c r="CF153" s="25"/>
      <c r="CG153" s="25"/>
      <c r="CH153" s="25"/>
      <c r="CI153" s="25"/>
      <c r="CJ153" s="25"/>
      <c r="CK153" s="25"/>
      <c r="CL153" s="25"/>
      <c r="CM153" s="25"/>
      <c r="CN153" s="25"/>
      <c r="CO153" s="25"/>
      <c r="CP153" s="25"/>
      <c r="CQ153" s="25"/>
      <c r="CR153" s="25"/>
      <c r="CS153" s="25"/>
      <c r="CT153" s="25"/>
      <c r="CU153" s="25"/>
      <c r="CV153" s="25"/>
      <c r="CW153" s="25"/>
      <c r="CX153" s="25"/>
      <c r="CY153" s="25"/>
      <c r="CZ153" s="25"/>
      <c r="DA153" s="25"/>
      <c r="DB153" s="25"/>
      <c r="DC153" s="25"/>
      <c r="DD153" s="25"/>
      <c r="DE153" s="25"/>
      <c r="DF153" s="25"/>
      <c r="DG153" s="25"/>
      <c r="DH153" s="25"/>
      <c r="DI153" s="26"/>
      <c r="DJ153" s="2"/>
      <c r="DK153" s="2"/>
      <c r="DL153" s="2"/>
      <c r="DM153" s="2"/>
    </row>
    <row r="154" spans="1:117" ht="18.5" thickBot="1" x14ac:dyDescent="0.6">
      <c r="A154" s="48"/>
      <c r="B154" s="39"/>
      <c r="C154" s="40"/>
      <c r="D154" s="41"/>
      <c r="E154" s="42"/>
      <c r="F154" s="42"/>
      <c r="G154" s="42"/>
      <c r="H154" s="42"/>
      <c r="I154" s="41"/>
      <c r="J154" s="38"/>
      <c r="K154" s="3"/>
      <c r="L154" s="3"/>
      <c r="M154" s="3"/>
      <c r="N154" s="3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BY154" s="25"/>
      <c r="BZ154" s="25"/>
      <c r="CA154" s="25"/>
      <c r="CB154" s="25"/>
      <c r="CC154" s="25"/>
      <c r="CD154" s="25"/>
      <c r="CE154" s="25"/>
      <c r="CF154" s="25"/>
      <c r="CG154" s="25"/>
      <c r="CH154" s="25"/>
      <c r="CI154" s="25"/>
      <c r="CJ154" s="25"/>
      <c r="CK154" s="25"/>
      <c r="CL154" s="25"/>
      <c r="CM154" s="25"/>
      <c r="CN154" s="25"/>
      <c r="CO154" s="25"/>
      <c r="CP154" s="25"/>
      <c r="CQ154" s="25"/>
      <c r="CR154" s="25"/>
      <c r="CS154" s="25"/>
      <c r="CT154" s="25"/>
      <c r="CU154" s="25"/>
      <c r="CV154" s="25"/>
      <c r="CW154" s="25"/>
      <c r="CX154" s="25"/>
      <c r="CY154" s="25"/>
      <c r="CZ154" s="25"/>
      <c r="DA154" s="25"/>
      <c r="DB154" s="25"/>
      <c r="DC154" s="25"/>
      <c r="DD154" s="25"/>
      <c r="DE154" s="25"/>
      <c r="DF154" s="25"/>
      <c r="DG154" s="25"/>
      <c r="DH154" s="25"/>
      <c r="DI154" s="26"/>
      <c r="DJ154" s="2"/>
      <c r="DK154" s="2"/>
      <c r="DL154" s="2"/>
      <c r="DM154" s="2"/>
    </row>
    <row r="155" spans="1:117" ht="18.5" thickBot="1" x14ac:dyDescent="0.6">
      <c r="A155" s="48"/>
      <c r="B155" s="39"/>
      <c r="C155" s="40"/>
      <c r="D155" s="41"/>
      <c r="E155" s="42"/>
      <c r="F155" s="42"/>
      <c r="G155" s="42"/>
      <c r="H155" s="42"/>
      <c r="I155" s="41"/>
      <c r="J155" s="38"/>
      <c r="K155" s="3"/>
      <c r="L155" s="3"/>
      <c r="M155" s="3"/>
      <c r="N155" s="3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5"/>
      <c r="BH155" s="25"/>
      <c r="BI155" s="25"/>
      <c r="BJ155" s="25"/>
      <c r="BK155" s="25"/>
      <c r="BL155" s="25"/>
      <c r="BM155" s="25"/>
      <c r="BN155" s="25"/>
      <c r="BO155" s="25"/>
      <c r="BP155" s="25"/>
      <c r="BQ155" s="25"/>
      <c r="BR155" s="25"/>
      <c r="BS155" s="25"/>
      <c r="BT155" s="25"/>
      <c r="BU155" s="25"/>
      <c r="BV155" s="25"/>
      <c r="BW155" s="25"/>
      <c r="BX155" s="25"/>
      <c r="BY155" s="25"/>
      <c r="BZ155" s="25"/>
      <c r="CA155" s="25"/>
      <c r="CB155" s="25"/>
      <c r="CC155" s="25"/>
      <c r="CD155" s="25"/>
      <c r="CE155" s="25"/>
      <c r="CF155" s="25"/>
      <c r="CG155" s="25"/>
      <c r="CH155" s="25"/>
      <c r="CI155" s="25"/>
      <c r="CJ155" s="25"/>
      <c r="CK155" s="25"/>
      <c r="CL155" s="25"/>
      <c r="CM155" s="25"/>
      <c r="CN155" s="25"/>
      <c r="CO155" s="25"/>
      <c r="CP155" s="25"/>
      <c r="CQ155" s="25"/>
      <c r="CR155" s="25"/>
      <c r="CS155" s="25"/>
      <c r="CT155" s="25"/>
      <c r="CU155" s="25"/>
      <c r="CV155" s="25"/>
      <c r="CW155" s="25"/>
      <c r="CX155" s="25"/>
      <c r="CY155" s="25"/>
      <c r="CZ155" s="25"/>
      <c r="DA155" s="25"/>
      <c r="DB155" s="25"/>
      <c r="DC155" s="25"/>
      <c r="DD155" s="25"/>
      <c r="DE155" s="25"/>
      <c r="DF155" s="25"/>
      <c r="DG155" s="25"/>
      <c r="DH155" s="25"/>
      <c r="DI155" s="26"/>
      <c r="DJ155" s="2"/>
      <c r="DK155" s="2"/>
      <c r="DL155" s="2"/>
      <c r="DM155" s="2"/>
    </row>
    <row r="156" spans="1:117" ht="18.5" thickBot="1" x14ac:dyDescent="0.6">
      <c r="A156" s="48"/>
      <c r="B156" s="39"/>
      <c r="C156" s="40"/>
      <c r="D156" s="41"/>
      <c r="E156" s="42"/>
      <c r="F156" s="42"/>
      <c r="G156" s="42"/>
      <c r="H156" s="42"/>
      <c r="I156" s="41"/>
      <c r="J156" s="38"/>
      <c r="K156" s="3"/>
      <c r="L156" s="3"/>
      <c r="M156" s="3"/>
      <c r="N156" s="3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5"/>
      <c r="BH156" s="25"/>
      <c r="BI156" s="25"/>
      <c r="BJ156" s="25"/>
      <c r="BK156" s="25"/>
      <c r="BL156" s="25"/>
      <c r="BM156" s="25"/>
      <c r="BN156" s="25"/>
      <c r="BO156" s="25"/>
      <c r="BP156" s="25"/>
      <c r="BQ156" s="25"/>
      <c r="BR156" s="25"/>
      <c r="BS156" s="25"/>
      <c r="BT156" s="25"/>
      <c r="BU156" s="25"/>
      <c r="BV156" s="25"/>
      <c r="BW156" s="25"/>
      <c r="BX156" s="25"/>
      <c r="BY156" s="25"/>
      <c r="BZ156" s="25"/>
      <c r="CA156" s="25"/>
      <c r="CB156" s="25"/>
      <c r="CC156" s="25"/>
      <c r="CD156" s="25"/>
      <c r="CE156" s="25"/>
      <c r="CF156" s="25"/>
      <c r="CG156" s="25"/>
      <c r="CH156" s="25"/>
      <c r="CI156" s="25"/>
      <c r="CJ156" s="25"/>
      <c r="CK156" s="25"/>
      <c r="CL156" s="25"/>
      <c r="CM156" s="25"/>
      <c r="CN156" s="25"/>
      <c r="CO156" s="25"/>
      <c r="CP156" s="25"/>
      <c r="CQ156" s="25"/>
      <c r="CR156" s="25"/>
      <c r="CS156" s="25"/>
      <c r="CT156" s="25"/>
      <c r="CU156" s="25"/>
      <c r="CV156" s="25"/>
      <c r="CW156" s="25"/>
      <c r="CX156" s="25"/>
      <c r="CY156" s="25"/>
      <c r="CZ156" s="25"/>
      <c r="DA156" s="25"/>
      <c r="DB156" s="25"/>
      <c r="DC156" s="25"/>
      <c r="DD156" s="25"/>
      <c r="DE156" s="25"/>
      <c r="DF156" s="25"/>
      <c r="DG156" s="25"/>
      <c r="DH156" s="25"/>
      <c r="DI156" s="26"/>
      <c r="DJ156" s="2"/>
      <c r="DK156" s="2"/>
      <c r="DL156" s="2"/>
      <c r="DM156" s="2"/>
    </row>
    <row r="157" spans="1:117" ht="18.5" thickBot="1" x14ac:dyDescent="0.6">
      <c r="A157" s="48"/>
      <c r="B157" s="39"/>
      <c r="C157" s="40"/>
      <c r="D157" s="41"/>
      <c r="E157" s="42"/>
      <c r="F157" s="42"/>
      <c r="G157" s="42"/>
      <c r="H157" s="42"/>
      <c r="I157" s="41"/>
      <c r="J157" s="38"/>
      <c r="K157" s="3"/>
      <c r="L157" s="3"/>
      <c r="M157" s="3"/>
      <c r="N157" s="3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  <c r="BE157" s="25"/>
      <c r="BF157" s="25"/>
      <c r="BG157" s="25"/>
      <c r="BH157" s="25"/>
      <c r="BI157" s="25"/>
      <c r="BJ157" s="25"/>
      <c r="BK157" s="25"/>
      <c r="BL157" s="25"/>
      <c r="BM157" s="25"/>
      <c r="BN157" s="25"/>
      <c r="BO157" s="25"/>
      <c r="BP157" s="25"/>
      <c r="BQ157" s="25"/>
      <c r="BR157" s="25"/>
      <c r="BS157" s="25"/>
      <c r="BT157" s="25"/>
      <c r="BU157" s="25"/>
      <c r="BV157" s="25"/>
      <c r="BW157" s="25"/>
      <c r="BX157" s="25"/>
      <c r="BY157" s="25"/>
      <c r="BZ157" s="25"/>
      <c r="CA157" s="25"/>
      <c r="CB157" s="25"/>
      <c r="CC157" s="25"/>
      <c r="CD157" s="25"/>
      <c r="CE157" s="25"/>
      <c r="CF157" s="25"/>
      <c r="CG157" s="25"/>
      <c r="CH157" s="25"/>
      <c r="CI157" s="25"/>
      <c r="CJ157" s="25"/>
      <c r="CK157" s="25"/>
      <c r="CL157" s="25"/>
      <c r="CM157" s="25"/>
      <c r="CN157" s="25"/>
      <c r="CO157" s="25"/>
      <c r="CP157" s="25"/>
      <c r="CQ157" s="25"/>
      <c r="CR157" s="25"/>
      <c r="CS157" s="25"/>
      <c r="CT157" s="25"/>
      <c r="CU157" s="25"/>
      <c r="CV157" s="25"/>
      <c r="CW157" s="25"/>
      <c r="CX157" s="25"/>
      <c r="CY157" s="25"/>
      <c r="CZ157" s="25"/>
      <c r="DA157" s="25"/>
      <c r="DB157" s="25"/>
      <c r="DC157" s="25"/>
      <c r="DD157" s="25"/>
      <c r="DE157" s="25"/>
      <c r="DF157" s="25"/>
      <c r="DG157" s="25"/>
      <c r="DH157" s="25"/>
      <c r="DI157" s="26"/>
      <c r="DJ157" s="2"/>
      <c r="DK157" s="2"/>
      <c r="DL157" s="2"/>
      <c r="DM157" s="2"/>
    </row>
    <row r="158" spans="1:117" ht="18.5" thickBot="1" x14ac:dyDescent="0.6">
      <c r="A158" s="48"/>
      <c r="B158" s="39"/>
      <c r="C158" s="40"/>
      <c r="D158" s="41"/>
      <c r="E158" s="42"/>
      <c r="F158" s="42"/>
      <c r="G158" s="42"/>
      <c r="H158" s="42"/>
      <c r="I158" s="41"/>
      <c r="J158" s="38"/>
      <c r="K158" s="3"/>
      <c r="L158" s="3"/>
      <c r="M158" s="3"/>
      <c r="N158" s="3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5"/>
      <c r="BH158" s="25"/>
      <c r="BI158" s="25"/>
      <c r="BJ158" s="25"/>
      <c r="BK158" s="25"/>
      <c r="BL158" s="25"/>
      <c r="BM158" s="25"/>
      <c r="BN158" s="25"/>
      <c r="BO158" s="25"/>
      <c r="BP158" s="25"/>
      <c r="BQ158" s="25"/>
      <c r="BR158" s="25"/>
      <c r="BS158" s="25"/>
      <c r="BT158" s="25"/>
      <c r="BU158" s="25"/>
      <c r="BV158" s="25"/>
      <c r="BW158" s="25"/>
      <c r="BX158" s="25"/>
      <c r="BY158" s="25"/>
      <c r="BZ158" s="25"/>
      <c r="CA158" s="25"/>
      <c r="CB158" s="25"/>
      <c r="CC158" s="25"/>
      <c r="CD158" s="25"/>
      <c r="CE158" s="25"/>
      <c r="CF158" s="25"/>
      <c r="CG158" s="25"/>
      <c r="CH158" s="25"/>
      <c r="CI158" s="25"/>
      <c r="CJ158" s="25"/>
      <c r="CK158" s="25"/>
      <c r="CL158" s="25"/>
      <c r="CM158" s="25"/>
      <c r="CN158" s="25"/>
      <c r="CO158" s="25"/>
      <c r="CP158" s="25"/>
      <c r="CQ158" s="25"/>
      <c r="CR158" s="25"/>
      <c r="CS158" s="25"/>
      <c r="CT158" s="25"/>
      <c r="CU158" s="25"/>
      <c r="CV158" s="25"/>
      <c r="CW158" s="25"/>
      <c r="CX158" s="25"/>
      <c r="CY158" s="25"/>
      <c r="CZ158" s="25"/>
      <c r="DA158" s="25"/>
      <c r="DB158" s="25"/>
      <c r="DC158" s="25"/>
      <c r="DD158" s="25"/>
      <c r="DE158" s="25"/>
      <c r="DF158" s="25"/>
      <c r="DG158" s="25"/>
      <c r="DH158" s="25"/>
      <c r="DI158" s="26"/>
      <c r="DJ158" s="2"/>
      <c r="DK158" s="2"/>
      <c r="DL158" s="2"/>
      <c r="DM158" s="2"/>
    </row>
    <row r="159" spans="1:117" ht="18.5" thickBot="1" x14ac:dyDescent="0.6">
      <c r="A159" s="48"/>
      <c r="B159" s="39"/>
      <c r="C159" s="40"/>
      <c r="D159" s="41"/>
      <c r="E159" s="42"/>
      <c r="F159" s="42"/>
      <c r="G159" s="42"/>
      <c r="H159" s="42"/>
      <c r="I159" s="41"/>
      <c r="J159" s="38"/>
      <c r="K159" s="3"/>
      <c r="L159" s="3"/>
      <c r="M159" s="3"/>
      <c r="N159" s="3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5"/>
      <c r="BH159" s="25"/>
      <c r="BI159" s="25"/>
      <c r="BJ159" s="25"/>
      <c r="BK159" s="25"/>
      <c r="BL159" s="25"/>
      <c r="BM159" s="25"/>
      <c r="BN159" s="25"/>
      <c r="BO159" s="25"/>
      <c r="BP159" s="25"/>
      <c r="BQ159" s="25"/>
      <c r="BR159" s="25"/>
      <c r="BS159" s="25"/>
      <c r="BT159" s="25"/>
      <c r="BU159" s="25"/>
      <c r="BV159" s="25"/>
      <c r="BW159" s="25"/>
      <c r="BX159" s="25"/>
      <c r="BY159" s="25"/>
      <c r="BZ159" s="25"/>
      <c r="CA159" s="25"/>
      <c r="CB159" s="25"/>
      <c r="CC159" s="25"/>
      <c r="CD159" s="25"/>
      <c r="CE159" s="25"/>
      <c r="CF159" s="25"/>
      <c r="CG159" s="25"/>
      <c r="CH159" s="25"/>
      <c r="CI159" s="25"/>
      <c r="CJ159" s="25"/>
      <c r="CK159" s="25"/>
      <c r="CL159" s="25"/>
      <c r="CM159" s="25"/>
      <c r="CN159" s="25"/>
      <c r="CO159" s="25"/>
      <c r="CP159" s="25"/>
      <c r="CQ159" s="25"/>
      <c r="CR159" s="25"/>
      <c r="CS159" s="25"/>
      <c r="CT159" s="25"/>
      <c r="CU159" s="25"/>
      <c r="CV159" s="25"/>
      <c r="CW159" s="25"/>
      <c r="CX159" s="25"/>
      <c r="CY159" s="25"/>
      <c r="CZ159" s="25"/>
      <c r="DA159" s="25"/>
      <c r="DB159" s="25"/>
      <c r="DC159" s="25"/>
      <c r="DD159" s="25"/>
      <c r="DE159" s="25"/>
      <c r="DF159" s="25"/>
      <c r="DG159" s="25"/>
      <c r="DH159" s="25"/>
      <c r="DI159" s="26"/>
      <c r="DJ159" s="2"/>
      <c r="DK159" s="2"/>
      <c r="DL159" s="2"/>
      <c r="DM159" s="2"/>
    </row>
    <row r="160" spans="1:117" ht="18.5" thickBot="1" x14ac:dyDescent="0.6">
      <c r="A160" s="48"/>
      <c r="B160" s="39"/>
      <c r="C160" s="40"/>
      <c r="D160" s="41"/>
      <c r="E160" s="42"/>
      <c r="F160" s="42"/>
      <c r="G160" s="42"/>
      <c r="H160" s="42"/>
      <c r="I160" s="41"/>
      <c r="J160" s="38"/>
      <c r="K160" s="3"/>
      <c r="L160" s="3"/>
      <c r="M160" s="3"/>
      <c r="N160" s="3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5"/>
      <c r="BJ160" s="25"/>
      <c r="BK160" s="25"/>
      <c r="BL160" s="25"/>
      <c r="BM160" s="25"/>
      <c r="BN160" s="25"/>
      <c r="BO160" s="25"/>
      <c r="BP160" s="25"/>
      <c r="BQ160" s="25"/>
      <c r="BR160" s="25"/>
      <c r="BS160" s="25"/>
      <c r="BT160" s="25"/>
      <c r="BU160" s="25"/>
      <c r="BV160" s="25"/>
      <c r="BW160" s="25"/>
      <c r="BX160" s="25"/>
      <c r="BY160" s="25"/>
      <c r="BZ160" s="25"/>
      <c r="CA160" s="25"/>
      <c r="CB160" s="25"/>
      <c r="CC160" s="25"/>
      <c r="CD160" s="25"/>
      <c r="CE160" s="25"/>
      <c r="CF160" s="25"/>
      <c r="CG160" s="25"/>
      <c r="CH160" s="25"/>
      <c r="CI160" s="25"/>
      <c r="CJ160" s="25"/>
      <c r="CK160" s="25"/>
      <c r="CL160" s="25"/>
      <c r="CM160" s="25"/>
      <c r="CN160" s="25"/>
      <c r="CO160" s="25"/>
      <c r="CP160" s="25"/>
      <c r="CQ160" s="25"/>
      <c r="CR160" s="25"/>
      <c r="CS160" s="25"/>
      <c r="CT160" s="25"/>
      <c r="CU160" s="25"/>
      <c r="CV160" s="25"/>
      <c r="CW160" s="25"/>
      <c r="CX160" s="25"/>
      <c r="CY160" s="25"/>
      <c r="CZ160" s="25"/>
      <c r="DA160" s="25"/>
      <c r="DB160" s="25"/>
      <c r="DC160" s="25"/>
      <c r="DD160" s="25"/>
      <c r="DE160" s="25"/>
      <c r="DF160" s="25"/>
      <c r="DG160" s="25"/>
      <c r="DH160" s="25"/>
      <c r="DI160" s="26"/>
      <c r="DJ160" s="2"/>
      <c r="DK160" s="2"/>
      <c r="DL160" s="2"/>
      <c r="DM160" s="2"/>
    </row>
    <row r="161" spans="1:117" ht="18.5" thickBot="1" x14ac:dyDescent="0.6">
      <c r="A161" s="48"/>
      <c r="B161" s="39"/>
      <c r="C161" s="40"/>
      <c r="D161" s="41"/>
      <c r="E161" s="42"/>
      <c r="F161" s="42"/>
      <c r="G161" s="42"/>
      <c r="H161" s="42"/>
      <c r="I161" s="41"/>
      <c r="J161" s="38"/>
      <c r="K161" s="3"/>
      <c r="L161" s="3"/>
      <c r="M161" s="3"/>
      <c r="N161" s="3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5"/>
      <c r="BH161" s="25"/>
      <c r="BI161" s="25"/>
      <c r="BJ161" s="25"/>
      <c r="BK161" s="25"/>
      <c r="BL161" s="25"/>
      <c r="BM161" s="25"/>
      <c r="BN161" s="25"/>
      <c r="BO161" s="25"/>
      <c r="BP161" s="25"/>
      <c r="BQ161" s="25"/>
      <c r="BR161" s="25"/>
      <c r="BS161" s="25"/>
      <c r="BT161" s="25"/>
      <c r="BU161" s="25"/>
      <c r="BV161" s="25"/>
      <c r="BW161" s="25"/>
      <c r="BX161" s="25"/>
      <c r="BY161" s="25"/>
      <c r="BZ161" s="25"/>
      <c r="CA161" s="25"/>
      <c r="CB161" s="25"/>
      <c r="CC161" s="25"/>
      <c r="CD161" s="25"/>
      <c r="CE161" s="25"/>
      <c r="CF161" s="25"/>
      <c r="CG161" s="25"/>
      <c r="CH161" s="25"/>
      <c r="CI161" s="25"/>
      <c r="CJ161" s="25"/>
      <c r="CK161" s="25"/>
      <c r="CL161" s="25"/>
      <c r="CM161" s="25"/>
      <c r="CN161" s="25"/>
      <c r="CO161" s="25"/>
      <c r="CP161" s="25"/>
      <c r="CQ161" s="25"/>
      <c r="CR161" s="25"/>
      <c r="CS161" s="25"/>
      <c r="CT161" s="25"/>
      <c r="CU161" s="25"/>
      <c r="CV161" s="25"/>
      <c r="CW161" s="25"/>
      <c r="CX161" s="25"/>
      <c r="CY161" s="25"/>
      <c r="CZ161" s="25"/>
      <c r="DA161" s="25"/>
      <c r="DB161" s="25"/>
      <c r="DC161" s="25"/>
      <c r="DD161" s="25"/>
      <c r="DE161" s="25"/>
      <c r="DF161" s="25"/>
      <c r="DG161" s="25"/>
      <c r="DH161" s="25"/>
      <c r="DI161" s="26"/>
      <c r="DJ161" s="2"/>
      <c r="DK161" s="2"/>
      <c r="DL161" s="2"/>
      <c r="DM161" s="2"/>
    </row>
    <row r="162" spans="1:117" ht="18.5" thickBot="1" x14ac:dyDescent="0.6">
      <c r="A162" s="48"/>
      <c r="B162" s="39"/>
      <c r="C162" s="40"/>
      <c r="D162" s="41"/>
      <c r="E162" s="42"/>
      <c r="F162" s="42"/>
      <c r="G162" s="42"/>
      <c r="H162" s="42"/>
      <c r="I162" s="41"/>
      <c r="J162" s="38"/>
      <c r="K162" s="3"/>
      <c r="L162" s="3"/>
      <c r="M162" s="3"/>
      <c r="N162" s="3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5"/>
      <c r="BJ162" s="25"/>
      <c r="BK162" s="25"/>
      <c r="BL162" s="25"/>
      <c r="BM162" s="25"/>
      <c r="BN162" s="25"/>
      <c r="BO162" s="25"/>
      <c r="BP162" s="25"/>
      <c r="BQ162" s="25"/>
      <c r="BR162" s="25"/>
      <c r="BS162" s="25"/>
      <c r="BT162" s="25"/>
      <c r="BU162" s="25"/>
      <c r="BV162" s="25"/>
      <c r="BW162" s="25"/>
      <c r="BX162" s="25"/>
      <c r="BY162" s="25"/>
      <c r="BZ162" s="25"/>
      <c r="CA162" s="25"/>
      <c r="CB162" s="25"/>
      <c r="CC162" s="25"/>
      <c r="CD162" s="25"/>
      <c r="CE162" s="25"/>
      <c r="CF162" s="25"/>
      <c r="CG162" s="25"/>
      <c r="CH162" s="25"/>
      <c r="CI162" s="25"/>
      <c r="CJ162" s="25"/>
      <c r="CK162" s="25"/>
      <c r="CL162" s="25"/>
      <c r="CM162" s="25"/>
      <c r="CN162" s="25"/>
      <c r="CO162" s="25"/>
      <c r="CP162" s="25"/>
      <c r="CQ162" s="25"/>
      <c r="CR162" s="25"/>
      <c r="CS162" s="25"/>
      <c r="CT162" s="25"/>
      <c r="CU162" s="25"/>
      <c r="CV162" s="25"/>
      <c r="CW162" s="25"/>
      <c r="CX162" s="25"/>
      <c r="CY162" s="25"/>
      <c r="CZ162" s="25"/>
      <c r="DA162" s="25"/>
      <c r="DB162" s="25"/>
      <c r="DC162" s="25"/>
      <c r="DD162" s="25"/>
      <c r="DE162" s="25"/>
      <c r="DF162" s="25"/>
      <c r="DG162" s="25"/>
      <c r="DH162" s="25"/>
      <c r="DI162" s="26"/>
      <c r="DJ162" s="2"/>
      <c r="DK162" s="2"/>
      <c r="DL162" s="2"/>
      <c r="DM162" s="2"/>
    </row>
    <row r="163" spans="1:117" ht="18.5" thickBot="1" x14ac:dyDescent="0.6">
      <c r="A163" s="48"/>
      <c r="B163" s="39"/>
      <c r="C163" s="40"/>
      <c r="D163" s="41"/>
      <c r="E163" s="42"/>
      <c r="F163" s="42"/>
      <c r="G163" s="42"/>
      <c r="H163" s="42"/>
      <c r="I163" s="41"/>
      <c r="J163" s="38"/>
      <c r="K163" s="3"/>
      <c r="L163" s="3"/>
      <c r="M163" s="3"/>
      <c r="N163" s="3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5"/>
      <c r="BH163" s="25"/>
      <c r="BI163" s="25"/>
      <c r="BJ163" s="25"/>
      <c r="BK163" s="25"/>
      <c r="BL163" s="25"/>
      <c r="BM163" s="25"/>
      <c r="BN163" s="25"/>
      <c r="BO163" s="25"/>
      <c r="BP163" s="25"/>
      <c r="BQ163" s="25"/>
      <c r="BR163" s="25"/>
      <c r="BS163" s="25"/>
      <c r="BT163" s="25"/>
      <c r="BU163" s="25"/>
      <c r="BV163" s="25"/>
      <c r="BW163" s="25"/>
      <c r="BX163" s="25"/>
      <c r="BY163" s="25"/>
      <c r="BZ163" s="25"/>
      <c r="CA163" s="25"/>
      <c r="CB163" s="25"/>
      <c r="CC163" s="25"/>
      <c r="CD163" s="25"/>
      <c r="CE163" s="25"/>
      <c r="CF163" s="25"/>
      <c r="CG163" s="25"/>
      <c r="CH163" s="25"/>
      <c r="CI163" s="25"/>
      <c r="CJ163" s="25"/>
      <c r="CK163" s="25"/>
      <c r="CL163" s="25"/>
      <c r="CM163" s="25"/>
      <c r="CN163" s="25"/>
      <c r="CO163" s="25"/>
      <c r="CP163" s="25"/>
      <c r="CQ163" s="25"/>
      <c r="CR163" s="25"/>
      <c r="CS163" s="25"/>
      <c r="CT163" s="25"/>
      <c r="CU163" s="25"/>
      <c r="CV163" s="25"/>
      <c r="CW163" s="25"/>
      <c r="CX163" s="25"/>
      <c r="CY163" s="25"/>
      <c r="CZ163" s="25"/>
      <c r="DA163" s="25"/>
      <c r="DB163" s="25"/>
      <c r="DC163" s="25"/>
      <c r="DD163" s="25"/>
      <c r="DE163" s="25"/>
      <c r="DF163" s="25"/>
      <c r="DG163" s="25"/>
      <c r="DH163" s="25"/>
      <c r="DI163" s="26"/>
      <c r="DJ163" s="2"/>
      <c r="DK163" s="2"/>
      <c r="DL163" s="2"/>
      <c r="DM163" s="2"/>
    </row>
    <row r="164" spans="1:117" ht="18.5" thickBot="1" x14ac:dyDescent="0.6">
      <c r="A164" s="48"/>
      <c r="B164" s="39"/>
      <c r="C164" s="40"/>
      <c r="D164" s="41"/>
      <c r="E164" s="42"/>
      <c r="F164" s="42"/>
      <c r="G164" s="42"/>
      <c r="H164" s="42"/>
      <c r="I164" s="41"/>
      <c r="J164" s="38"/>
      <c r="K164" s="3"/>
      <c r="L164" s="3"/>
      <c r="M164" s="3"/>
      <c r="N164" s="3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5"/>
      <c r="BH164" s="25"/>
      <c r="BI164" s="25"/>
      <c r="BJ164" s="25"/>
      <c r="BK164" s="25"/>
      <c r="BL164" s="25"/>
      <c r="BM164" s="25"/>
      <c r="BN164" s="25"/>
      <c r="BO164" s="25"/>
      <c r="BP164" s="25"/>
      <c r="BQ164" s="25"/>
      <c r="BR164" s="25"/>
      <c r="BS164" s="25"/>
      <c r="BT164" s="25"/>
      <c r="BU164" s="25"/>
      <c r="BV164" s="25"/>
      <c r="BW164" s="25"/>
      <c r="BX164" s="25"/>
      <c r="BY164" s="25"/>
      <c r="BZ164" s="25"/>
      <c r="CA164" s="25"/>
      <c r="CB164" s="25"/>
      <c r="CC164" s="25"/>
      <c r="CD164" s="25"/>
      <c r="CE164" s="25"/>
      <c r="CF164" s="25"/>
      <c r="CG164" s="25"/>
      <c r="CH164" s="25"/>
      <c r="CI164" s="25"/>
      <c r="CJ164" s="25"/>
      <c r="CK164" s="25"/>
      <c r="CL164" s="25"/>
      <c r="CM164" s="25"/>
      <c r="CN164" s="25"/>
      <c r="CO164" s="25"/>
      <c r="CP164" s="25"/>
      <c r="CQ164" s="25"/>
      <c r="CR164" s="25"/>
      <c r="CS164" s="25"/>
      <c r="CT164" s="25"/>
      <c r="CU164" s="25"/>
      <c r="CV164" s="25"/>
      <c r="CW164" s="25"/>
      <c r="CX164" s="25"/>
      <c r="CY164" s="25"/>
      <c r="CZ164" s="25"/>
      <c r="DA164" s="25"/>
      <c r="DB164" s="25"/>
      <c r="DC164" s="25"/>
      <c r="DD164" s="25"/>
      <c r="DE164" s="25"/>
      <c r="DF164" s="25"/>
      <c r="DG164" s="25"/>
      <c r="DH164" s="25"/>
      <c r="DI164" s="26"/>
      <c r="DJ164" s="2"/>
      <c r="DK164" s="2"/>
      <c r="DL164" s="2"/>
      <c r="DM164" s="2"/>
    </row>
    <row r="165" spans="1:117" ht="18.5" thickBot="1" x14ac:dyDescent="0.6">
      <c r="A165" s="48"/>
      <c r="B165" s="39"/>
      <c r="C165" s="40"/>
      <c r="D165" s="41"/>
      <c r="E165" s="42"/>
      <c r="F165" s="42"/>
      <c r="G165" s="42"/>
      <c r="H165" s="42"/>
      <c r="I165" s="41"/>
      <c r="J165" s="38"/>
      <c r="K165" s="3"/>
      <c r="L165" s="3"/>
      <c r="M165" s="3"/>
      <c r="N165" s="3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6"/>
      <c r="DJ165" s="2"/>
      <c r="DK165" s="2"/>
      <c r="DL165" s="2"/>
      <c r="DM165" s="2"/>
    </row>
    <row r="166" spans="1:117" ht="18.5" thickBot="1" x14ac:dyDescent="0.6">
      <c r="A166" s="48"/>
      <c r="B166" s="39"/>
      <c r="C166" s="40"/>
      <c r="D166" s="41"/>
      <c r="E166" s="42"/>
      <c r="F166" s="42"/>
      <c r="G166" s="42"/>
      <c r="H166" s="42"/>
      <c r="I166" s="41"/>
      <c r="J166" s="38"/>
      <c r="K166" s="3"/>
      <c r="L166" s="3"/>
      <c r="M166" s="3"/>
      <c r="N166" s="3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5"/>
      <c r="BH166" s="25"/>
      <c r="BI166" s="25"/>
      <c r="BJ166" s="25"/>
      <c r="BK166" s="25"/>
      <c r="BL166" s="25"/>
      <c r="BM166" s="25"/>
      <c r="BN166" s="25"/>
      <c r="BO166" s="25"/>
      <c r="BP166" s="25"/>
      <c r="BQ166" s="25"/>
      <c r="BR166" s="25"/>
      <c r="BS166" s="25"/>
      <c r="BT166" s="25"/>
      <c r="BU166" s="25"/>
      <c r="BV166" s="25"/>
      <c r="BW166" s="25"/>
      <c r="BX166" s="25"/>
      <c r="BY166" s="25"/>
      <c r="BZ166" s="25"/>
      <c r="CA166" s="25"/>
      <c r="CB166" s="25"/>
      <c r="CC166" s="25"/>
      <c r="CD166" s="25"/>
      <c r="CE166" s="25"/>
      <c r="CF166" s="25"/>
      <c r="CG166" s="25"/>
      <c r="CH166" s="25"/>
      <c r="CI166" s="25"/>
      <c r="CJ166" s="25"/>
      <c r="CK166" s="25"/>
      <c r="CL166" s="25"/>
      <c r="CM166" s="25"/>
      <c r="CN166" s="25"/>
      <c r="CO166" s="25"/>
      <c r="CP166" s="25"/>
      <c r="CQ166" s="25"/>
      <c r="CR166" s="25"/>
      <c r="CS166" s="25"/>
      <c r="CT166" s="25"/>
      <c r="CU166" s="25"/>
      <c r="CV166" s="25"/>
      <c r="CW166" s="25"/>
      <c r="CX166" s="25"/>
      <c r="CY166" s="25"/>
      <c r="CZ166" s="25"/>
      <c r="DA166" s="25"/>
      <c r="DB166" s="25"/>
      <c r="DC166" s="25"/>
      <c r="DD166" s="25"/>
      <c r="DE166" s="25"/>
      <c r="DF166" s="25"/>
      <c r="DG166" s="25"/>
      <c r="DH166" s="25"/>
      <c r="DI166" s="26"/>
      <c r="DJ166" s="2"/>
      <c r="DK166" s="2"/>
      <c r="DL166" s="2"/>
      <c r="DM166" s="2"/>
    </row>
    <row r="167" spans="1:117" ht="18.5" thickBot="1" x14ac:dyDescent="0.6">
      <c r="A167" s="48"/>
      <c r="B167" s="39"/>
      <c r="C167" s="40"/>
      <c r="D167" s="41"/>
      <c r="E167" s="42"/>
      <c r="F167" s="42"/>
      <c r="G167" s="42"/>
      <c r="H167" s="42"/>
      <c r="I167" s="41"/>
      <c r="J167" s="38"/>
      <c r="K167" s="3"/>
      <c r="L167" s="3"/>
      <c r="M167" s="3"/>
      <c r="N167" s="3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5"/>
      <c r="BH167" s="25"/>
      <c r="BI167" s="25"/>
      <c r="BJ167" s="25"/>
      <c r="BK167" s="25"/>
      <c r="BL167" s="25"/>
      <c r="BM167" s="25"/>
      <c r="BN167" s="25"/>
      <c r="BO167" s="25"/>
      <c r="BP167" s="25"/>
      <c r="BQ167" s="25"/>
      <c r="BR167" s="25"/>
      <c r="BS167" s="25"/>
      <c r="BT167" s="25"/>
      <c r="BU167" s="25"/>
      <c r="BV167" s="25"/>
      <c r="BW167" s="25"/>
      <c r="BX167" s="25"/>
      <c r="BY167" s="25"/>
      <c r="BZ167" s="25"/>
      <c r="CA167" s="25"/>
      <c r="CB167" s="25"/>
      <c r="CC167" s="25"/>
      <c r="CD167" s="25"/>
      <c r="CE167" s="25"/>
      <c r="CF167" s="25"/>
      <c r="CG167" s="25"/>
      <c r="CH167" s="25"/>
      <c r="CI167" s="25"/>
      <c r="CJ167" s="25"/>
      <c r="CK167" s="25"/>
      <c r="CL167" s="25"/>
      <c r="CM167" s="25"/>
      <c r="CN167" s="25"/>
      <c r="CO167" s="25"/>
      <c r="CP167" s="25"/>
      <c r="CQ167" s="25"/>
      <c r="CR167" s="25"/>
      <c r="CS167" s="25"/>
      <c r="CT167" s="25"/>
      <c r="CU167" s="25"/>
      <c r="CV167" s="25"/>
      <c r="CW167" s="25"/>
      <c r="CX167" s="25"/>
      <c r="CY167" s="25"/>
      <c r="CZ167" s="25"/>
      <c r="DA167" s="25"/>
      <c r="DB167" s="25"/>
      <c r="DC167" s="25"/>
      <c r="DD167" s="25"/>
      <c r="DE167" s="25"/>
      <c r="DF167" s="25"/>
      <c r="DG167" s="25"/>
      <c r="DH167" s="25"/>
      <c r="DI167" s="26"/>
      <c r="DJ167" s="2"/>
      <c r="DK167" s="2"/>
      <c r="DL167" s="2"/>
      <c r="DM167" s="2"/>
    </row>
    <row r="168" spans="1:117" ht="18.5" thickBot="1" x14ac:dyDescent="0.6">
      <c r="A168" s="48"/>
      <c r="B168" s="39"/>
      <c r="C168" s="40"/>
      <c r="D168" s="41"/>
      <c r="E168" s="42"/>
      <c r="F168" s="42"/>
      <c r="G168" s="42"/>
      <c r="H168" s="42"/>
      <c r="I168" s="41"/>
      <c r="J168" s="38"/>
      <c r="K168" s="3"/>
      <c r="L168" s="3"/>
      <c r="M168" s="3"/>
      <c r="N168" s="3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5"/>
      <c r="BH168" s="25"/>
      <c r="BI168" s="25"/>
      <c r="BJ168" s="25"/>
      <c r="BK168" s="25"/>
      <c r="BL168" s="25"/>
      <c r="BM168" s="25"/>
      <c r="BN168" s="25"/>
      <c r="BO168" s="25"/>
      <c r="BP168" s="25"/>
      <c r="BQ168" s="25"/>
      <c r="BR168" s="25"/>
      <c r="BS168" s="25"/>
      <c r="BT168" s="25"/>
      <c r="BU168" s="25"/>
      <c r="BV168" s="25"/>
      <c r="BW168" s="25"/>
      <c r="BX168" s="25"/>
      <c r="BY168" s="25"/>
      <c r="BZ168" s="25"/>
      <c r="CA168" s="25"/>
      <c r="CB168" s="25"/>
      <c r="CC168" s="25"/>
      <c r="CD168" s="25"/>
      <c r="CE168" s="25"/>
      <c r="CF168" s="25"/>
      <c r="CG168" s="25"/>
      <c r="CH168" s="25"/>
      <c r="CI168" s="25"/>
      <c r="CJ168" s="25"/>
      <c r="CK168" s="25"/>
      <c r="CL168" s="25"/>
      <c r="CM168" s="25"/>
      <c r="CN168" s="25"/>
      <c r="CO168" s="25"/>
      <c r="CP168" s="25"/>
      <c r="CQ168" s="25"/>
      <c r="CR168" s="25"/>
      <c r="CS168" s="25"/>
      <c r="CT168" s="25"/>
      <c r="CU168" s="25"/>
      <c r="CV168" s="25"/>
      <c r="CW168" s="25"/>
      <c r="CX168" s="25"/>
      <c r="CY168" s="25"/>
      <c r="CZ168" s="25"/>
      <c r="DA168" s="25"/>
      <c r="DB168" s="25"/>
      <c r="DC168" s="25"/>
      <c r="DD168" s="25"/>
      <c r="DE168" s="25"/>
      <c r="DF168" s="25"/>
      <c r="DG168" s="25"/>
      <c r="DH168" s="25"/>
      <c r="DI168" s="26"/>
      <c r="DJ168" s="2"/>
      <c r="DK168" s="2"/>
      <c r="DL168" s="2"/>
      <c r="DM168" s="2"/>
    </row>
    <row r="169" spans="1:117" ht="18.5" thickBot="1" x14ac:dyDescent="0.6">
      <c r="A169" s="48"/>
      <c r="B169" s="39"/>
      <c r="C169" s="40"/>
      <c r="D169" s="41"/>
      <c r="E169" s="42"/>
      <c r="F169" s="42"/>
      <c r="G169" s="42"/>
      <c r="H169" s="42"/>
      <c r="I169" s="41"/>
      <c r="J169" s="38"/>
      <c r="K169" s="3"/>
      <c r="L169" s="3"/>
      <c r="M169" s="3"/>
      <c r="N169" s="3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5"/>
      <c r="BH169" s="25"/>
      <c r="BI169" s="25"/>
      <c r="BJ169" s="25"/>
      <c r="BK169" s="25"/>
      <c r="BL169" s="25"/>
      <c r="BM169" s="25"/>
      <c r="BN169" s="25"/>
      <c r="BO169" s="25"/>
      <c r="BP169" s="25"/>
      <c r="BQ169" s="25"/>
      <c r="BR169" s="25"/>
      <c r="BS169" s="25"/>
      <c r="BT169" s="25"/>
      <c r="BU169" s="25"/>
      <c r="BV169" s="25"/>
      <c r="BW169" s="25"/>
      <c r="BX169" s="25"/>
      <c r="BY169" s="25"/>
      <c r="BZ169" s="25"/>
      <c r="CA169" s="25"/>
      <c r="CB169" s="25"/>
      <c r="CC169" s="25"/>
      <c r="CD169" s="25"/>
      <c r="CE169" s="25"/>
      <c r="CF169" s="25"/>
      <c r="CG169" s="25"/>
      <c r="CH169" s="25"/>
      <c r="CI169" s="25"/>
      <c r="CJ169" s="25"/>
      <c r="CK169" s="25"/>
      <c r="CL169" s="25"/>
      <c r="CM169" s="25"/>
      <c r="CN169" s="25"/>
      <c r="CO169" s="25"/>
      <c r="CP169" s="25"/>
      <c r="CQ169" s="25"/>
      <c r="CR169" s="25"/>
      <c r="CS169" s="25"/>
      <c r="CT169" s="25"/>
      <c r="CU169" s="25"/>
      <c r="CV169" s="25"/>
      <c r="CW169" s="25"/>
      <c r="CX169" s="25"/>
      <c r="CY169" s="25"/>
      <c r="CZ169" s="25"/>
      <c r="DA169" s="25"/>
      <c r="DB169" s="25"/>
      <c r="DC169" s="25"/>
      <c r="DD169" s="25"/>
      <c r="DE169" s="25"/>
      <c r="DF169" s="25"/>
      <c r="DG169" s="25"/>
      <c r="DH169" s="25"/>
      <c r="DI169" s="26"/>
      <c r="DJ169" s="2"/>
      <c r="DK169" s="2"/>
      <c r="DL169" s="2"/>
      <c r="DM169" s="2"/>
    </row>
    <row r="170" spans="1:117" ht="18.5" thickBot="1" x14ac:dyDescent="0.6">
      <c r="A170" s="48"/>
      <c r="B170" s="39"/>
      <c r="C170" s="40"/>
      <c r="D170" s="41"/>
      <c r="E170" s="42"/>
      <c r="F170" s="42"/>
      <c r="G170" s="42"/>
      <c r="H170" s="42"/>
      <c r="I170" s="41"/>
      <c r="J170" s="38"/>
      <c r="K170" s="3"/>
      <c r="L170" s="3"/>
      <c r="M170" s="3"/>
      <c r="N170" s="3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5"/>
      <c r="BH170" s="25"/>
      <c r="BI170" s="25"/>
      <c r="BJ170" s="25"/>
      <c r="BK170" s="25"/>
      <c r="BL170" s="25"/>
      <c r="BM170" s="25"/>
      <c r="BN170" s="25"/>
      <c r="BO170" s="25"/>
      <c r="BP170" s="25"/>
      <c r="BQ170" s="25"/>
      <c r="BR170" s="25"/>
      <c r="BS170" s="25"/>
      <c r="BT170" s="25"/>
      <c r="BU170" s="25"/>
      <c r="BV170" s="25"/>
      <c r="BW170" s="25"/>
      <c r="BX170" s="25"/>
      <c r="BY170" s="25"/>
      <c r="BZ170" s="25"/>
      <c r="CA170" s="25"/>
      <c r="CB170" s="25"/>
      <c r="CC170" s="25"/>
      <c r="CD170" s="25"/>
      <c r="CE170" s="25"/>
      <c r="CF170" s="25"/>
      <c r="CG170" s="25"/>
      <c r="CH170" s="25"/>
      <c r="CI170" s="25"/>
      <c r="CJ170" s="25"/>
      <c r="CK170" s="25"/>
      <c r="CL170" s="25"/>
      <c r="CM170" s="25"/>
      <c r="CN170" s="25"/>
      <c r="CO170" s="25"/>
      <c r="CP170" s="25"/>
      <c r="CQ170" s="25"/>
      <c r="CR170" s="25"/>
      <c r="CS170" s="25"/>
      <c r="CT170" s="25"/>
      <c r="CU170" s="25"/>
      <c r="CV170" s="25"/>
      <c r="CW170" s="25"/>
      <c r="CX170" s="25"/>
      <c r="CY170" s="25"/>
      <c r="CZ170" s="25"/>
      <c r="DA170" s="25"/>
      <c r="DB170" s="25"/>
      <c r="DC170" s="25"/>
      <c r="DD170" s="25"/>
      <c r="DE170" s="25"/>
      <c r="DF170" s="25"/>
      <c r="DG170" s="25"/>
      <c r="DH170" s="25"/>
      <c r="DI170" s="26"/>
      <c r="DJ170" s="2"/>
      <c r="DK170" s="2"/>
      <c r="DL170" s="2"/>
      <c r="DM170" s="2"/>
    </row>
    <row r="171" spans="1:117" ht="18.5" thickBot="1" x14ac:dyDescent="0.6">
      <c r="A171" s="48"/>
      <c r="B171" s="39"/>
      <c r="C171" s="40"/>
      <c r="D171" s="41"/>
      <c r="E171" s="42"/>
      <c r="F171" s="42"/>
      <c r="G171" s="42"/>
      <c r="H171" s="42"/>
      <c r="I171" s="41"/>
      <c r="J171" s="38"/>
      <c r="K171" s="3"/>
      <c r="L171" s="3"/>
      <c r="M171" s="3"/>
      <c r="N171" s="3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5"/>
      <c r="BH171" s="25"/>
      <c r="BI171" s="25"/>
      <c r="BJ171" s="25"/>
      <c r="BK171" s="25"/>
      <c r="BL171" s="25"/>
      <c r="BM171" s="25"/>
      <c r="BN171" s="25"/>
      <c r="BO171" s="25"/>
      <c r="BP171" s="25"/>
      <c r="BQ171" s="25"/>
      <c r="BR171" s="25"/>
      <c r="BS171" s="25"/>
      <c r="BT171" s="25"/>
      <c r="BU171" s="25"/>
      <c r="BV171" s="25"/>
      <c r="BW171" s="25"/>
      <c r="BX171" s="25"/>
      <c r="BY171" s="25"/>
      <c r="BZ171" s="25"/>
      <c r="CA171" s="25"/>
      <c r="CB171" s="25"/>
      <c r="CC171" s="25"/>
      <c r="CD171" s="25"/>
      <c r="CE171" s="25"/>
      <c r="CF171" s="25"/>
      <c r="CG171" s="25"/>
      <c r="CH171" s="25"/>
      <c r="CI171" s="25"/>
      <c r="CJ171" s="25"/>
      <c r="CK171" s="25"/>
      <c r="CL171" s="25"/>
      <c r="CM171" s="25"/>
      <c r="CN171" s="25"/>
      <c r="CO171" s="25"/>
      <c r="CP171" s="25"/>
      <c r="CQ171" s="25"/>
      <c r="CR171" s="25"/>
      <c r="CS171" s="25"/>
      <c r="CT171" s="25"/>
      <c r="CU171" s="25"/>
      <c r="CV171" s="25"/>
      <c r="CW171" s="25"/>
      <c r="CX171" s="25"/>
      <c r="CY171" s="25"/>
      <c r="CZ171" s="25"/>
      <c r="DA171" s="25"/>
      <c r="DB171" s="25"/>
      <c r="DC171" s="25"/>
      <c r="DD171" s="25"/>
      <c r="DE171" s="25"/>
      <c r="DF171" s="25"/>
      <c r="DG171" s="25"/>
      <c r="DH171" s="25"/>
      <c r="DI171" s="26"/>
      <c r="DJ171" s="2"/>
      <c r="DK171" s="2"/>
      <c r="DL171" s="2"/>
      <c r="DM171" s="2"/>
    </row>
    <row r="172" spans="1:117" ht="18.5" thickBot="1" x14ac:dyDescent="0.6">
      <c r="A172" s="48"/>
      <c r="B172" s="39"/>
      <c r="C172" s="40"/>
      <c r="D172" s="41"/>
      <c r="E172" s="42"/>
      <c r="F172" s="42"/>
      <c r="G172" s="42"/>
      <c r="H172" s="42"/>
      <c r="I172" s="41"/>
      <c r="J172" s="38"/>
      <c r="K172" s="3"/>
      <c r="L172" s="3"/>
      <c r="M172" s="3"/>
      <c r="N172" s="3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5"/>
      <c r="BH172" s="25"/>
      <c r="BI172" s="25"/>
      <c r="BJ172" s="25"/>
      <c r="BK172" s="25"/>
      <c r="BL172" s="25"/>
      <c r="BM172" s="25"/>
      <c r="BN172" s="25"/>
      <c r="BO172" s="25"/>
      <c r="BP172" s="25"/>
      <c r="BQ172" s="25"/>
      <c r="BR172" s="25"/>
      <c r="BS172" s="25"/>
      <c r="BT172" s="25"/>
      <c r="BU172" s="25"/>
      <c r="BV172" s="25"/>
      <c r="BW172" s="25"/>
      <c r="BX172" s="25"/>
      <c r="BY172" s="25"/>
      <c r="BZ172" s="25"/>
      <c r="CA172" s="25"/>
      <c r="CB172" s="25"/>
      <c r="CC172" s="25"/>
      <c r="CD172" s="25"/>
      <c r="CE172" s="25"/>
      <c r="CF172" s="25"/>
      <c r="CG172" s="25"/>
      <c r="CH172" s="25"/>
      <c r="CI172" s="25"/>
      <c r="CJ172" s="25"/>
      <c r="CK172" s="25"/>
      <c r="CL172" s="25"/>
      <c r="CM172" s="25"/>
      <c r="CN172" s="25"/>
      <c r="CO172" s="25"/>
      <c r="CP172" s="25"/>
      <c r="CQ172" s="25"/>
      <c r="CR172" s="25"/>
      <c r="CS172" s="25"/>
      <c r="CT172" s="25"/>
      <c r="CU172" s="25"/>
      <c r="CV172" s="25"/>
      <c r="CW172" s="25"/>
      <c r="CX172" s="25"/>
      <c r="CY172" s="25"/>
      <c r="CZ172" s="25"/>
      <c r="DA172" s="25"/>
      <c r="DB172" s="25"/>
      <c r="DC172" s="25"/>
      <c r="DD172" s="25"/>
      <c r="DE172" s="25"/>
      <c r="DF172" s="25"/>
      <c r="DG172" s="25"/>
      <c r="DH172" s="25"/>
      <c r="DI172" s="26"/>
      <c r="DJ172" s="2"/>
      <c r="DK172" s="2"/>
      <c r="DL172" s="2"/>
      <c r="DM172" s="2"/>
    </row>
    <row r="173" spans="1:117" ht="18.5" thickBot="1" x14ac:dyDescent="0.6">
      <c r="A173" s="48"/>
      <c r="B173" s="39"/>
      <c r="C173" s="40"/>
      <c r="D173" s="41"/>
      <c r="E173" s="42"/>
      <c r="F173" s="42"/>
      <c r="G173" s="42"/>
      <c r="H173" s="42"/>
      <c r="I173" s="41"/>
      <c r="J173" s="38"/>
      <c r="K173" s="3"/>
      <c r="L173" s="3"/>
      <c r="M173" s="3"/>
      <c r="N173" s="3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5"/>
      <c r="BH173" s="25"/>
      <c r="BI173" s="25"/>
      <c r="BJ173" s="25"/>
      <c r="BK173" s="25"/>
      <c r="BL173" s="25"/>
      <c r="BM173" s="25"/>
      <c r="BN173" s="25"/>
      <c r="BO173" s="25"/>
      <c r="BP173" s="25"/>
      <c r="BQ173" s="25"/>
      <c r="BR173" s="25"/>
      <c r="BS173" s="25"/>
      <c r="BT173" s="25"/>
      <c r="BU173" s="25"/>
      <c r="BV173" s="25"/>
      <c r="BW173" s="25"/>
      <c r="BX173" s="25"/>
      <c r="BY173" s="25"/>
      <c r="BZ173" s="25"/>
      <c r="CA173" s="25"/>
      <c r="CB173" s="25"/>
      <c r="CC173" s="25"/>
      <c r="CD173" s="25"/>
      <c r="CE173" s="25"/>
      <c r="CF173" s="25"/>
      <c r="CG173" s="25"/>
      <c r="CH173" s="25"/>
      <c r="CI173" s="25"/>
      <c r="CJ173" s="25"/>
      <c r="CK173" s="25"/>
      <c r="CL173" s="25"/>
      <c r="CM173" s="25"/>
      <c r="CN173" s="25"/>
      <c r="CO173" s="25"/>
      <c r="CP173" s="25"/>
      <c r="CQ173" s="25"/>
      <c r="CR173" s="25"/>
      <c r="CS173" s="25"/>
      <c r="CT173" s="25"/>
      <c r="CU173" s="25"/>
      <c r="CV173" s="25"/>
      <c r="CW173" s="25"/>
      <c r="CX173" s="25"/>
      <c r="CY173" s="25"/>
      <c r="CZ173" s="25"/>
      <c r="DA173" s="25"/>
      <c r="DB173" s="25"/>
      <c r="DC173" s="25"/>
      <c r="DD173" s="25"/>
      <c r="DE173" s="25"/>
      <c r="DF173" s="25"/>
      <c r="DG173" s="25"/>
      <c r="DH173" s="25"/>
      <c r="DI173" s="26"/>
      <c r="DJ173" s="2"/>
      <c r="DK173" s="2"/>
      <c r="DL173" s="2"/>
      <c r="DM173" s="2"/>
    </row>
    <row r="174" spans="1:117" ht="18.5" thickBot="1" x14ac:dyDescent="0.6">
      <c r="A174" s="48"/>
      <c r="B174" s="39"/>
      <c r="C174" s="40"/>
      <c r="D174" s="41"/>
      <c r="E174" s="42"/>
      <c r="F174" s="42"/>
      <c r="G174" s="42"/>
      <c r="H174" s="42"/>
      <c r="I174" s="41"/>
      <c r="J174" s="38">
        <f>F174-E174</f>
        <v>0</v>
      </c>
      <c r="K174" s="3">
        <f>H174-G174</f>
        <v>0</v>
      </c>
      <c r="L174" s="3">
        <f>G174-E174</f>
        <v>0</v>
      </c>
      <c r="M174" s="3">
        <f ca="1">F174-TODAY()</f>
        <v>-43647</v>
      </c>
      <c r="N174" s="3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5"/>
      <c r="BH174" s="25"/>
      <c r="BI174" s="25"/>
      <c r="BJ174" s="25"/>
      <c r="BK174" s="25"/>
      <c r="BL174" s="25"/>
      <c r="BM174" s="25"/>
      <c r="BN174" s="25"/>
      <c r="BO174" s="25"/>
      <c r="BP174" s="25"/>
      <c r="BQ174" s="25"/>
      <c r="BR174" s="25"/>
      <c r="BS174" s="25"/>
      <c r="BT174" s="25"/>
      <c r="BU174" s="25"/>
      <c r="BV174" s="25"/>
      <c r="BW174" s="25"/>
      <c r="BX174" s="25"/>
      <c r="BY174" s="25"/>
      <c r="BZ174" s="25"/>
      <c r="CA174" s="25"/>
      <c r="CB174" s="25"/>
      <c r="CC174" s="25"/>
      <c r="CD174" s="25"/>
      <c r="CE174" s="25"/>
      <c r="CF174" s="25"/>
      <c r="CG174" s="25"/>
      <c r="CH174" s="25"/>
      <c r="CI174" s="25"/>
      <c r="CJ174" s="25"/>
      <c r="CK174" s="25"/>
      <c r="CL174" s="25"/>
      <c r="CM174" s="25"/>
      <c r="CN174" s="25"/>
      <c r="CO174" s="25"/>
      <c r="CP174" s="25"/>
      <c r="CQ174" s="25"/>
      <c r="CR174" s="25"/>
      <c r="CS174" s="25"/>
      <c r="CT174" s="25"/>
      <c r="CU174" s="25"/>
      <c r="CV174" s="25"/>
      <c r="CW174" s="25"/>
      <c r="CX174" s="25"/>
      <c r="CY174" s="25"/>
      <c r="CZ174" s="25"/>
      <c r="DA174" s="25"/>
      <c r="DB174" s="25"/>
      <c r="DC174" s="25"/>
      <c r="DD174" s="25"/>
      <c r="DE174" s="25"/>
      <c r="DF174" s="25"/>
      <c r="DG174" s="25"/>
      <c r="DH174" s="25"/>
      <c r="DI174" s="26"/>
      <c r="DJ174" s="2"/>
      <c r="DK174" s="2"/>
      <c r="DL174" s="2"/>
      <c r="DM174" s="2"/>
    </row>
    <row r="175" spans="1:117" ht="18.5" thickBot="1" x14ac:dyDescent="0.6">
      <c r="A175" s="48"/>
      <c r="B175" s="39"/>
      <c r="C175" s="40"/>
      <c r="D175" s="41"/>
      <c r="E175" s="42"/>
      <c r="F175" s="42"/>
      <c r="G175" s="42"/>
      <c r="H175" s="42"/>
      <c r="I175" s="41"/>
      <c r="J175" s="38">
        <f>F175-E175</f>
        <v>0</v>
      </c>
      <c r="K175" s="3">
        <f>H175-G175</f>
        <v>0</v>
      </c>
      <c r="L175" s="3">
        <f>G175-E175</f>
        <v>0</v>
      </c>
      <c r="M175" s="3">
        <f ca="1">F175-TODAY()</f>
        <v>-43647</v>
      </c>
      <c r="N175" s="3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5"/>
      <c r="BH175" s="25"/>
      <c r="BI175" s="25"/>
      <c r="BJ175" s="25"/>
      <c r="BK175" s="25"/>
      <c r="BL175" s="25"/>
      <c r="BM175" s="25"/>
      <c r="BN175" s="25"/>
      <c r="BO175" s="25"/>
      <c r="BP175" s="25"/>
      <c r="BQ175" s="25"/>
      <c r="BR175" s="25"/>
      <c r="BS175" s="25"/>
      <c r="BT175" s="25"/>
      <c r="BU175" s="25"/>
      <c r="BV175" s="25"/>
      <c r="BW175" s="25"/>
      <c r="BX175" s="25"/>
      <c r="BY175" s="25"/>
      <c r="BZ175" s="25"/>
      <c r="CA175" s="25"/>
      <c r="CB175" s="25"/>
      <c r="CC175" s="25"/>
      <c r="CD175" s="25"/>
      <c r="CE175" s="25"/>
      <c r="CF175" s="25"/>
      <c r="CG175" s="25"/>
      <c r="CH175" s="25"/>
      <c r="CI175" s="25"/>
      <c r="CJ175" s="25"/>
      <c r="CK175" s="25"/>
      <c r="CL175" s="25"/>
      <c r="CM175" s="25"/>
      <c r="CN175" s="25"/>
      <c r="CO175" s="25"/>
      <c r="CP175" s="25"/>
      <c r="CQ175" s="25"/>
      <c r="CR175" s="25"/>
      <c r="CS175" s="25"/>
      <c r="CT175" s="25"/>
      <c r="CU175" s="25"/>
      <c r="CV175" s="25"/>
      <c r="CW175" s="25"/>
      <c r="CX175" s="25"/>
      <c r="CY175" s="25"/>
      <c r="CZ175" s="25"/>
      <c r="DA175" s="25"/>
      <c r="DB175" s="25"/>
      <c r="DC175" s="25"/>
      <c r="DD175" s="25"/>
      <c r="DE175" s="25"/>
      <c r="DF175" s="25"/>
      <c r="DG175" s="25"/>
      <c r="DH175" s="25"/>
      <c r="DI175" s="26"/>
      <c r="DJ175" s="2"/>
      <c r="DK175" s="2"/>
      <c r="DL175" s="2"/>
      <c r="DM175" s="2"/>
    </row>
    <row r="176" spans="1:117" ht="18.5" thickBot="1" x14ac:dyDescent="0.6">
      <c r="A176" s="48"/>
      <c r="B176" s="39"/>
      <c r="C176" s="40"/>
      <c r="D176" s="41"/>
      <c r="E176" s="42"/>
      <c r="F176" s="42"/>
      <c r="G176" s="42"/>
      <c r="H176" s="42"/>
      <c r="I176" s="41"/>
      <c r="J176" s="38">
        <f>F176-E176</f>
        <v>0</v>
      </c>
      <c r="K176" s="3">
        <f>H176-G176</f>
        <v>0</v>
      </c>
      <c r="L176" s="3">
        <f>G176-E176</f>
        <v>0</v>
      </c>
      <c r="M176" s="3">
        <f ca="1">F176-TODAY()</f>
        <v>-43647</v>
      </c>
      <c r="N176" s="3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5"/>
      <c r="BH176" s="25"/>
      <c r="BI176" s="25"/>
      <c r="BJ176" s="25"/>
      <c r="BK176" s="25"/>
      <c r="BL176" s="25"/>
      <c r="BM176" s="25"/>
      <c r="BN176" s="25"/>
      <c r="BO176" s="25"/>
      <c r="BP176" s="25"/>
      <c r="BQ176" s="25"/>
      <c r="BR176" s="25"/>
      <c r="BS176" s="25"/>
      <c r="BT176" s="25"/>
      <c r="BU176" s="25"/>
      <c r="BV176" s="25"/>
      <c r="BW176" s="25"/>
      <c r="BX176" s="25"/>
      <c r="BY176" s="25"/>
      <c r="BZ176" s="25"/>
      <c r="CA176" s="25"/>
      <c r="CB176" s="25"/>
      <c r="CC176" s="25"/>
      <c r="CD176" s="25"/>
      <c r="CE176" s="25"/>
      <c r="CF176" s="25"/>
      <c r="CG176" s="25"/>
      <c r="CH176" s="25"/>
      <c r="CI176" s="25"/>
      <c r="CJ176" s="25"/>
      <c r="CK176" s="25"/>
      <c r="CL176" s="25"/>
      <c r="CM176" s="25"/>
      <c r="CN176" s="25"/>
      <c r="CO176" s="25"/>
      <c r="CP176" s="25"/>
      <c r="CQ176" s="25"/>
      <c r="CR176" s="25"/>
      <c r="CS176" s="25"/>
      <c r="CT176" s="25"/>
      <c r="CU176" s="25"/>
      <c r="CV176" s="25"/>
      <c r="CW176" s="25"/>
      <c r="CX176" s="25"/>
      <c r="CY176" s="25"/>
      <c r="CZ176" s="25"/>
      <c r="DA176" s="25"/>
      <c r="DB176" s="25"/>
      <c r="DC176" s="25"/>
      <c r="DD176" s="25"/>
      <c r="DE176" s="25"/>
      <c r="DF176" s="25"/>
      <c r="DG176" s="25"/>
      <c r="DH176" s="25"/>
      <c r="DI176" s="26"/>
    </row>
    <row r="177" spans="1:113" ht="18.5" thickBot="1" x14ac:dyDescent="0.6">
      <c r="A177" s="49"/>
      <c r="B177" s="44"/>
      <c r="C177" s="45"/>
      <c r="D177" s="46"/>
      <c r="E177" s="47"/>
      <c r="F177" s="47"/>
      <c r="G177" s="47"/>
      <c r="H177" s="47"/>
      <c r="I177" s="46"/>
      <c r="J177" s="38">
        <f>F177-E177</f>
        <v>0</v>
      </c>
      <c r="K177" s="3">
        <f>H177-G177</f>
        <v>0</v>
      </c>
      <c r="L177" s="3">
        <f>G177-E177</f>
        <v>0</v>
      </c>
      <c r="M177" s="3">
        <f ca="1">F177-TODAY()</f>
        <v>-43647</v>
      </c>
      <c r="N177" s="3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  <c r="CO177" s="27"/>
      <c r="CP177" s="27"/>
      <c r="CQ177" s="27"/>
      <c r="CR177" s="27"/>
      <c r="CS177" s="27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8"/>
    </row>
    <row r="178" spans="1:113" x14ac:dyDescent="0.55000000000000004">
      <c r="A178" s="50"/>
      <c r="B178" s="1"/>
    </row>
    <row r="179" spans="1:113" x14ac:dyDescent="0.55000000000000004">
      <c r="B179" s="37"/>
    </row>
    <row r="180" spans="1:113" x14ac:dyDescent="0.55000000000000004">
      <c r="B180" s="37"/>
    </row>
    <row r="181" spans="1:113" x14ac:dyDescent="0.55000000000000004">
      <c r="B181" s="37"/>
    </row>
    <row r="182" spans="1:113" x14ac:dyDescent="0.55000000000000004">
      <c r="B182" s="37"/>
    </row>
    <row r="183" spans="1:113" x14ac:dyDescent="0.55000000000000004">
      <c r="B183" s="37"/>
    </row>
    <row r="184" spans="1:113" x14ac:dyDescent="0.55000000000000004">
      <c r="B184" s="37"/>
    </row>
  </sheetData>
  <autoFilter ref="A4:DM180" xr:uid="{00000000-0009-0000-0000-000002000000}"/>
  <phoneticPr fontId="1"/>
  <conditionalFormatting sqref="O4:DH4">
    <cfRule type="expression" dxfId="9" priority="12">
      <formula>COUNTIF(非稼働日,O$3) &gt;0</formula>
    </cfRule>
    <cfRule type="cellIs" dxfId="8" priority="21" operator="notBetween">
      <formula>2</formula>
      <formula>6</formula>
    </cfRule>
  </conditionalFormatting>
  <conditionalFormatting sqref="O5:DI177">
    <cfRule type="expression" dxfId="7" priority="15">
      <formula>COUNTIF(非稼働日,O$3) &gt;0</formula>
    </cfRule>
  </conditionalFormatting>
  <conditionalFormatting sqref="O5:DI177">
    <cfRule type="expression" dxfId="6" priority="17">
      <formula>OR(O$4=1, O$4=7)</formula>
    </cfRule>
  </conditionalFormatting>
  <conditionalFormatting sqref="O177:DI177">
    <cfRule type="expression" dxfId="5" priority="8">
      <formula>OR(O$4=1, O$4=7)</formula>
    </cfRule>
  </conditionalFormatting>
  <conditionalFormatting sqref="A5:I177">
    <cfRule type="expression" dxfId="4" priority="27">
      <formula>$I5="完了"</formula>
    </cfRule>
  </conditionalFormatting>
  <conditionalFormatting sqref="DI4">
    <cfRule type="expression" dxfId="3" priority="1">
      <formula>COUNTIF(非稼働日,DI$3) &gt;0</formula>
    </cfRule>
    <cfRule type="cellIs" dxfId="2" priority="2" operator="notBetween">
      <formula>2</formula>
      <formula>6</formula>
    </cfRule>
  </conditionalFormatting>
  <conditionalFormatting sqref="A5:A177">
    <cfRule type="expression" dxfId="1" priority="22">
      <formula>A5=""</formula>
    </cfRule>
  </conditionalFormatting>
  <conditionalFormatting sqref="B5:B177">
    <cfRule type="expression" dxfId="0" priority="23">
      <formula>IF(AND(B5="", A5=""),1,0)</formula>
    </cfRule>
  </conditionalFormatting>
  <pageMargins left="0.7" right="0.7" top="0.75" bottom="0.75" header="0.3" footer="0.3"/>
  <ignoredErrors>
    <ignoredError sqref="K174:K177 K5:K9 K9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TextFileMain">
                <anchor moveWithCells="1" sizeWithCells="1">
                  <from>
                    <xdr:col>1</xdr:col>
                    <xdr:colOff>139700</xdr:colOff>
                    <xdr:row>0</xdr:row>
                    <xdr:rowOff>107950</xdr:rowOff>
                  </from>
                  <to>
                    <xdr:col>2</xdr:col>
                    <xdr:colOff>666750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keGantchartMain">
                <anchor moveWithCells="1" sizeWithCells="1">
                  <from>
                    <xdr:col>2</xdr:col>
                    <xdr:colOff>825500</xdr:colOff>
                    <xdr:row>0</xdr:row>
                    <xdr:rowOff>120650</xdr:rowOff>
                  </from>
                  <to>
                    <xdr:col>2</xdr:col>
                    <xdr:colOff>1619250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B3:C8"/>
  <sheetViews>
    <sheetView zoomScale="220" zoomScaleNormal="220" workbookViewId="0">
      <selection activeCell="B9" sqref="B9"/>
    </sheetView>
  </sheetViews>
  <sheetFormatPr defaultRowHeight="18" x14ac:dyDescent="0.55000000000000004"/>
  <cols>
    <col min="1" max="1" width="5.08203125" customWidth="1"/>
  </cols>
  <sheetData>
    <row r="3" spans="2:3" x14ac:dyDescent="0.55000000000000004">
      <c r="B3" s="29" t="s">
        <v>35</v>
      </c>
      <c r="C3" s="29" t="s">
        <v>36</v>
      </c>
    </row>
    <row r="4" spans="2:3" x14ac:dyDescent="0.55000000000000004">
      <c r="B4" s="30" t="s">
        <v>51</v>
      </c>
      <c r="C4" s="31"/>
    </row>
    <row r="5" spans="2:3" x14ac:dyDescent="0.55000000000000004">
      <c r="B5" s="30" t="s">
        <v>52</v>
      </c>
      <c r="C5" s="32"/>
    </row>
    <row r="6" spans="2:3" x14ac:dyDescent="0.55000000000000004">
      <c r="B6" s="30" t="s">
        <v>53</v>
      </c>
      <c r="C6" s="33"/>
    </row>
    <row r="7" spans="2:3" x14ac:dyDescent="0.55000000000000004">
      <c r="B7" s="30" t="s">
        <v>54</v>
      </c>
      <c r="C7" s="34"/>
    </row>
    <row r="8" spans="2:3" x14ac:dyDescent="0.55000000000000004">
      <c r="B8" s="30" t="s">
        <v>55</v>
      </c>
      <c r="C8" s="3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3:D575"/>
  <sheetViews>
    <sheetView workbookViewId="0">
      <selection activeCell="C3" sqref="C3"/>
    </sheetView>
  </sheetViews>
  <sheetFormatPr defaultRowHeight="18" x14ac:dyDescent="0.55000000000000004"/>
  <cols>
    <col min="1" max="1" width="2.5" customWidth="1"/>
    <col min="2" max="2" width="10" bestFit="1" customWidth="1"/>
    <col min="3" max="3" width="11.08203125" bestFit="1" customWidth="1"/>
    <col min="4" max="4" width="12.33203125" bestFit="1" customWidth="1"/>
  </cols>
  <sheetData>
    <row r="3" spans="2:4" x14ac:dyDescent="0.55000000000000004">
      <c r="B3" s="4" t="s">
        <v>0</v>
      </c>
      <c r="C3" s="4" t="s">
        <v>2</v>
      </c>
    </row>
    <row r="4" spans="2:4" x14ac:dyDescent="0.55000000000000004">
      <c r="B4" s="6">
        <f ca="1">TODAY()-7</f>
        <v>43640</v>
      </c>
      <c r="C4" s="5">
        <v>43466</v>
      </c>
      <c r="D4" t="s">
        <v>15</v>
      </c>
    </row>
    <row r="5" spans="2:4" x14ac:dyDescent="0.55000000000000004">
      <c r="C5" s="5">
        <v>43479</v>
      </c>
      <c r="D5" t="s">
        <v>16</v>
      </c>
    </row>
    <row r="6" spans="2:4" x14ac:dyDescent="0.55000000000000004">
      <c r="C6" s="5">
        <v>43507</v>
      </c>
      <c r="D6" t="s">
        <v>17</v>
      </c>
    </row>
    <row r="7" spans="2:4" x14ac:dyDescent="0.55000000000000004">
      <c r="C7" s="5">
        <v>43545</v>
      </c>
      <c r="D7" t="s">
        <v>18</v>
      </c>
    </row>
    <row r="8" spans="2:4" x14ac:dyDescent="0.55000000000000004">
      <c r="C8" s="5">
        <v>43584</v>
      </c>
      <c r="D8" t="s">
        <v>19</v>
      </c>
    </row>
    <row r="9" spans="2:4" x14ac:dyDescent="0.55000000000000004">
      <c r="C9" s="5">
        <v>43588</v>
      </c>
      <c r="D9" t="s">
        <v>20</v>
      </c>
    </row>
    <row r="10" spans="2:4" x14ac:dyDescent="0.55000000000000004">
      <c r="C10" s="5">
        <v>43589</v>
      </c>
      <c r="D10" t="s">
        <v>21</v>
      </c>
    </row>
    <row r="11" spans="2:4" x14ac:dyDescent="0.55000000000000004">
      <c r="C11" s="5">
        <v>43590</v>
      </c>
      <c r="D11" t="s">
        <v>22</v>
      </c>
    </row>
    <row r="12" spans="2:4" x14ac:dyDescent="0.55000000000000004">
      <c r="C12" s="5">
        <v>43591</v>
      </c>
      <c r="D12" t="s">
        <v>23</v>
      </c>
    </row>
    <row r="13" spans="2:4" x14ac:dyDescent="0.55000000000000004">
      <c r="C13" s="5">
        <v>43661</v>
      </c>
      <c r="D13" t="s">
        <v>24</v>
      </c>
    </row>
    <row r="14" spans="2:4" x14ac:dyDescent="0.55000000000000004">
      <c r="C14" s="5">
        <v>43688</v>
      </c>
      <c r="D14" t="s">
        <v>25</v>
      </c>
    </row>
    <row r="15" spans="2:4" x14ac:dyDescent="0.55000000000000004">
      <c r="C15" s="5">
        <v>43689</v>
      </c>
      <c r="D15" t="s">
        <v>23</v>
      </c>
    </row>
    <row r="16" spans="2:4" x14ac:dyDescent="0.55000000000000004">
      <c r="C16" s="5">
        <v>43724</v>
      </c>
      <c r="D16" t="s">
        <v>26</v>
      </c>
    </row>
    <row r="17" spans="3:4" x14ac:dyDescent="0.55000000000000004">
      <c r="C17" s="5">
        <v>43731</v>
      </c>
      <c r="D17" t="s">
        <v>27</v>
      </c>
    </row>
    <row r="18" spans="3:4" x14ac:dyDescent="0.55000000000000004">
      <c r="C18" s="5">
        <v>43752</v>
      </c>
      <c r="D18" t="s">
        <v>28</v>
      </c>
    </row>
    <row r="19" spans="3:4" x14ac:dyDescent="0.55000000000000004">
      <c r="C19" s="5">
        <v>43772</v>
      </c>
      <c r="D19" t="s">
        <v>29</v>
      </c>
    </row>
    <row r="20" spans="3:4" x14ac:dyDescent="0.55000000000000004">
      <c r="C20" s="5">
        <v>43773</v>
      </c>
      <c r="D20" t="s">
        <v>23</v>
      </c>
    </row>
    <row r="21" spans="3:4" x14ac:dyDescent="0.55000000000000004">
      <c r="C21" s="5">
        <v>43792</v>
      </c>
      <c r="D21" t="s">
        <v>30</v>
      </c>
    </row>
    <row r="22" spans="3:4" x14ac:dyDescent="0.55000000000000004">
      <c r="C22" s="5">
        <v>43822</v>
      </c>
      <c r="D22" t="s">
        <v>31</v>
      </c>
    </row>
    <row r="23" spans="3:4" x14ac:dyDescent="0.55000000000000004">
      <c r="C23" s="5">
        <v>43831</v>
      </c>
      <c r="D23" t="s">
        <v>15</v>
      </c>
    </row>
    <row r="24" spans="3:4" x14ac:dyDescent="0.55000000000000004">
      <c r="C24" s="5">
        <v>43843</v>
      </c>
      <c r="D24" t="s">
        <v>16</v>
      </c>
    </row>
    <row r="25" spans="3:4" x14ac:dyDescent="0.55000000000000004">
      <c r="C25" s="5">
        <v>43872</v>
      </c>
      <c r="D25" t="s">
        <v>17</v>
      </c>
    </row>
    <row r="26" spans="3:4" x14ac:dyDescent="0.55000000000000004">
      <c r="C26" s="5">
        <v>43910</v>
      </c>
      <c r="D26" t="s">
        <v>18</v>
      </c>
    </row>
    <row r="27" spans="3:4" x14ac:dyDescent="0.55000000000000004">
      <c r="C27" s="5">
        <v>43950</v>
      </c>
      <c r="D27" t="s">
        <v>19</v>
      </c>
    </row>
    <row r="28" spans="3:4" x14ac:dyDescent="0.55000000000000004">
      <c r="C28" s="5">
        <v>43951</v>
      </c>
      <c r="D28" t="s">
        <v>34</v>
      </c>
    </row>
    <row r="29" spans="3:4" x14ac:dyDescent="0.55000000000000004">
      <c r="C29" s="5">
        <v>43952</v>
      </c>
      <c r="D29" t="s">
        <v>34</v>
      </c>
    </row>
    <row r="30" spans="3:4" x14ac:dyDescent="0.55000000000000004">
      <c r="C30" s="5">
        <v>43953</v>
      </c>
      <c r="D30" t="s">
        <v>34</v>
      </c>
    </row>
    <row r="31" spans="3:4" x14ac:dyDescent="0.55000000000000004">
      <c r="C31" s="5">
        <v>43954</v>
      </c>
      <c r="D31" t="s">
        <v>20</v>
      </c>
    </row>
    <row r="32" spans="3:4" x14ac:dyDescent="0.55000000000000004">
      <c r="C32" s="5">
        <v>43955</v>
      </c>
      <c r="D32" t="s">
        <v>21</v>
      </c>
    </row>
    <row r="33" spans="3:4" x14ac:dyDescent="0.55000000000000004">
      <c r="C33" s="5">
        <v>43956</v>
      </c>
      <c r="D33" t="s">
        <v>22</v>
      </c>
    </row>
    <row r="34" spans="3:4" x14ac:dyDescent="0.55000000000000004">
      <c r="C34" s="5">
        <v>43957</v>
      </c>
      <c r="D34" t="s">
        <v>23</v>
      </c>
    </row>
    <row r="35" spans="3:4" x14ac:dyDescent="0.55000000000000004">
      <c r="C35" s="5">
        <v>44032</v>
      </c>
      <c r="D35" t="s">
        <v>24</v>
      </c>
    </row>
    <row r="36" spans="3:4" x14ac:dyDescent="0.55000000000000004">
      <c r="C36" s="5">
        <v>44054</v>
      </c>
      <c r="D36" t="s">
        <v>25</v>
      </c>
    </row>
    <row r="37" spans="3:4" x14ac:dyDescent="0.55000000000000004">
      <c r="C37" s="5">
        <v>44095</v>
      </c>
      <c r="D37" t="s">
        <v>26</v>
      </c>
    </row>
    <row r="38" spans="3:4" x14ac:dyDescent="0.55000000000000004">
      <c r="C38" s="5">
        <v>44096</v>
      </c>
      <c r="D38" t="s">
        <v>27</v>
      </c>
    </row>
    <row r="39" spans="3:4" x14ac:dyDescent="0.55000000000000004">
      <c r="C39" s="5">
        <v>44116</v>
      </c>
      <c r="D39" t="s">
        <v>28</v>
      </c>
    </row>
    <row r="40" spans="3:4" x14ac:dyDescent="0.55000000000000004">
      <c r="C40" s="5">
        <v>44138</v>
      </c>
      <c r="D40" t="s">
        <v>29</v>
      </c>
    </row>
    <row r="41" spans="3:4" x14ac:dyDescent="0.55000000000000004">
      <c r="C41" s="5">
        <v>44158</v>
      </c>
      <c r="D41" t="s">
        <v>30</v>
      </c>
    </row>
    <row r="42" spans="3:4" x14ac:dyDescent="0.55000000000000004">
      <c r="C42" s="5">
        <v>44188</v>
      </c>
      <c r="D42" t="s">
        <v>31</v>
      </c>
    </row>
    <row r="43" spans="3:4" x14ac:dyDescent="0.55000000000000004">
      <c r="C43" s="5">
        <v>44197</v>
      </c>
      <c r="D43" t="s">
        <v>15</v>
      </c>
    </row>
    <row r="44" spans="3:4" x14ac:dyDescent="0.55000000000000004">
      <c r="C44" s="5">
        <v>44207</v>
      </c>
      <c r="D44" t="s">
        <v>16</v>
      </c>
    </row>
    <row r="45" spans="3:4" x14ac:dyDescent="0.55000000000000004">
      <c r="C45" s="5">
        <v>44238</v>
      </c>
      <c r="D45" t="s">
        <v>17</v>
      </c>
    </row>
    <row r="46" spans="3:4" x14ac:dyDescent="0.55000000000000004">
      <c r="C46" s="5">
        <v>44275</v>
      </c>
      <c r="D46" t="s">
        <v>18</v>
      </c>
    </row>
    <row r="47" spans="3:4" x14ac:dyDescent="0.55000000000000004">
      <c r="C47" s="5">
        <v>44315</v>
      </c>
      <c r="D47" t="s">
        <v>19</v>
      </c>
    </row>
    <row r="48" spans="3:4" x14ac:dyDescent="0.55000000000000004">
      <c r="C48" s="5">
        <v>44319</v>
      </c>
      <c r="D48" t="s">
        <v>20</v>
      </c>
    </row>
    <row r="49" spans="3:4" x14ac:dyDescent="0.55000000000000004">
      <c r="C49" s="5">
        <v>44320</v>
      </c>
      <c r="D49" t="s">
        <v>21</v>
      </c>
    </row>
    <row r="50" spans="3:4" x14ac:dyDescent="0.55000000000000004">
      <c r="C50" s="5">
        <v>44321</v>
      </c>
      <c r="D50" t="s">
        <v>22</v>
      </c>
    </row>
    <row r="51" spans="3:4" x14ac:dyDescent="0.55000000000000004">
      <c r="C51" s="5">
        <v>44396</v>
      </c>
      <c r="D51" t="s">
        <v>24</v>
      </c>
    </row>
    <row r="52" spans="3:4" x14ac:dyDescent="0.55000000000000004">
      <c r="C52" s="5">
        <v>44419</v>
      </c>
      <c r="D52" t="s">
        <v>25</v>
      </c>
    </row>
    <row r="53" spans="3:4" x14ac:dyDescent="0.55000000000000004">
      <c r="C53" s="5">
        <v>44459</v>
      </c>
      <c r="D53" t="s">
        <v>26</v>
      </c>
    </row>
    <row r="54" spans="3:4" x14ac:dyDescent="0.55000000000000004">
      <c r="C54" s="5">
        <v>44462</v>
      </c>
      <c r="D54" t="s">
        <v>27</v>
      </c>
    </row>
    <row r="55" spans="3:4" x14ac:dyDescent="0.55000000000000004">
      <c r="C55" s="5">
        <v>44480</v>
      </c>
      <c r="D55" t="s">
        <v>28</v>
      </c>
    </row>
    <row r="56" spans="3:4" x14ac:dyDescent="0.55000000000000004">
      <c r="C56" s="5">
        <v>44503</v>
      </c>
      <c r="D56" t="s">
        <v>29</v>
      </c>
    </row>
    <row r="57" spans="3:4" x14ac:dyDescent="0.55000000000000004">
      <c r="C57" s="5">
        <v>44523</v>
      </c>
      <c r="D57" t="s">
        <v>30</v>
      </c>
    </row>
    <row r="58" spans="3:4" x14ac:dyDescent="0.55000000000000004">
      <c r="C58" s="5">
        <v>44553</v>
      </c>
      <c r="D58" t="s">
        <v>31</v>
      </c>
    </row>
    <row r="59" spans="3:4" x14ac:dyDescent="0.55000000000000004">
      <c r="C59" s="5">
        <v>44562</v>
      </c>
      <c r="D59" t="s">
        <v>15</v>
      </c>
    </row>
    <row r="60" spans="3:4" x14ac:dyDescent="0.55000000000000004">
      <c r="C60" s="5">
        <v>44571</v>
      </c>
      <c r="D60" t="s">
        <v>16</v>
      </c>
    </row>
    <row r="61" spans="3:4" x14ac:dyDescent="0.55000000000000004">
      <c r="C61" s="5">
        <v>44603</v>
      </c>
      <c r="D61" t="s">
        <v>17</v>
      </c>
    </row>
    <row r="62" spans="3:4" x14ac:dyDescent="0.55000000000000004">
      <c r="C62" s="5">
        <v>44641</v>
      </c>
      <c r="D62" t="s">
        <v>18</v>
      </c>
    </row>
    <row r="63" spans="3:4" x14ac:dyDescent="0.55000000000000004">
      <c r="C63" s="5">
        <v>44680</v>
      </c>
      <c r="D63" t="s">
        <v>19</v>
      </c>
    </row>
    <row r="64" spans="3:4" x14ac:dyDescent="0.55000000000000004">
      <c r="C64" s="5">
        <v>44684</v>
      </c>
      <c r="D64" t="s">
        <v>20</v>
      </c>
    </row>
    <row r="65" spans="3:4" x14ac:dyDescent="0.55000000000000004">
      <c r="C65" s="5">
        <v>44685</v>
      </c>
      <c r="D65" t="s">
        <v>21</v>
      </c>
    </row>
    <row r="66" spans="3:4" x14ac:dyDescent="0.55000000000000004">
      <c r="C66" s="5">
        <v>44686</v>
      </c>
      <c r="D66" t="s">
        <v>22</v>
      </c>
    </row>
    <row r="67" spans="3:4" x14ac:dyDescent="0.55000000000000004">
      <c r="C67" s="5">
        <v>44760</v>
      </c>
      <c r="D67" t="s">
        <v>24</v>
      </c>
    </row>
    <row r="68" spans="3:4" x14ac:dyDescent="0.55000000000000004">
      <c r="C68" s="5">
        <v>44784</v>
      </c>
      <c r="D68" t="s">
        <v>25</v>
      </c>
    </row>
    <row r="69" spans="3:4" x14ac:dyDescent="0.55000000000000004">
      <c r="C69" s="5">
        <v>44823</v>
      </c>
      <c r="D69" t="s">
        <v>26</v>
      </c>
    </row>
    <row r="70" spans="3:4" x14ac:dyDescent="0.55000000000000004">
      <c r="C70" s="5">
        <v>44827</v>
      </c>
      <c r="D70" t="s">
        <v>27</v>
      </c>
    </row>
    <row r="71" spans="3:4" x14ac:dyDescent="0.55000000000000004">
      <c r="C71" s="5">
        <v>44844</v>
      </c>
      <c r="D71" t="s">
        <v>28</v>
      </c>
    </row>
    <row r="72" spans="3:4" x14ac:dyDescent="0.55000000000000004">
      <c r="C72" s="5">
        <v>44868</v>
      </c>
      <c r="D72" t="s">
        <v>29</v>
      </c>
    </row>
    <row r="73" spans="3:4" x14ac:dyDescent="0.55000000000000004">
      <c r="C73" s="5">
        <v>44888</v>
      </c>
      <c r="D73" t="s">
        <v>30</v>
      </c>
    </row>
    <row r="74" spans="3:4" x14ac:dyDescent="0.55000000000000004">
      <c r="C74" s="5">
        <v>44918</v>
      </c>
      <c r="D74" t="s">
        <v>31</v>
      </c>
    </row>
    <row r="75" spans="3:4" x14ac:dyDescent="0.55000000000000004">
      <c r="C75" s="5">
        <v>44927</v>
      </c>
      <c r="D75" t="s">
        <v>15</v>
      </c>
    </row>
    <row r="76" spans="3:4" x14ac:dyDescent="0.55000000000000004">
      <c r="C76" s="5">
        <v>44928</v>
      </c>
      <c r="D76" t="s">
        <v>23</v>
      </c>
    </row>
    <row r="77" spans="3:4" x14ac:dyDescent="0.55000000000000004">
      <c r="C77" s="5">
        <v>44935</v>
      </c>
      <c r="D77" t="s">
        <v>16</v>
      </c>
    </row>
    <row r="78" spans="3:4" x14ac:dyDescent="0.55000000000000004">
      <c r="C78" s="5">
        <v>44968</v>
      </c>
      <c r="D78" t="s">
        <v>17</v>
      </c>
    </row>
    <row r="79" spans="3:4" x14ac:dyDescent="0.55000000000000004">
      <c r="C79" s="5">
        <v>45006</v>
      </c>
      <c r="D79" t="s">
        <v>18</v>
      </c>
    </row>
    <row r="80" spans="3:4" x14ac:dyDescent="0.55000000000000004">
      <c r="C80" s="5">
        <v>45045</v>
      </c>
      <c r="D80" t="s">
        <v>19</v>
      </c>
    </row>
    <row r="81" spans="3:4" x14ac:dyDescent="0.55000000000000004">
      <c r="C81" s="5">
        <v>45049</v>
      </c>
      <c r="D81" t="s">
        <v>20</v>
      </c>
    </row>
    <row r="82" spans="3:4" x14ac:dyDescent="0.55000000000000004">
      <c r="C82" s="5">
        <v>45050</v>
      </c>
      <c r="D82" t="s">
        <v>21</v>
      </c>
    </row>
    <row r="83" spans="3:4" x14ac:dyDescent="0.55000000000000004">
      <c r="C83" s="5">
        <v>45051</v>
      </c>
      <c r="D83" t="s">
        <v>22</v>
      </c>
    </row>
    <row r="84" spans="3:4" x14ac:dyDescent="0.55000000000000004">
      <c r="C84" s="5">
        <v>45124</v>
      </c>
      <c r="D84" t="s">
        <v>24</v>
      </c>
    </row>
    <row r="85" spans="3:4" x14ac:dyDescent="0.55000000000000004">
      <c r="C85" s="5">
        <v>45149</v>
      </c>
      <c r="D85" t="s">
        <v>25</v>
      </c>
    </row>
    <row r="86" spans="3:4" x14ac:dyDescent="0.55000000000000004">
      <c r="C86" s="5">
        <v>45187</v>
      </c>
      <c r="D86" t="s">
        <v>26</v>
      </c>
    </row>
    <row r="87" spans="3:4" x14ac:dyDescent="0.55000000000000004">
      <c r="C87" s="5">
        <v>45192</v>
      </c>
      <c r="D87" t="s">
        <v>27</v>
      </c>
    </row>
    <row r="88" spans="3:4" x14ac:dyDescent="0.55000000000000004">
      <c r="C88" s="5">
        <v>45208</v>
      </c>
      <c r="D88" t="s">
        <v>28</v>
      </c>
    </row>
    <row r="89" spans="3:4" x14ac:dyDescent="0.55000000000000004">
      <c r="C89" s="5">
        <v>45233</v>
      </c>
      <c r="D89" t="s">
        <v>29</v>
      </c>
    </row>
    <row r="90" spans="3:4" x14ac:dyDescent="0.55000000000000004">
      <c r="C90" s="5">
        <v>45253</v>
      </c>
      <c r="D90" t="s">
        <v>30</v>
      </c>
    </row>
    <row r="91" spans="3:4" x14ac:dyDescent="0.55000000000000004">
      <c r="C91" s="5">
        <v>45283</v>
      </c>
      <c r="D91" t="s">
        <v>31</v>
      </c>
    </row>
    <row r="92" spans="3:4" x14ac:dyDescent="0.55000000000000004">
      <c r="C92" s="5">
        <v>45292</v>
      </c>
      <c r="D92" t="s">
        <v>15</v>
      </c>
    </row>
    <row r="93" spans="3:4" x14ac:dyDescent="0.55000000000000004">
      <c r="C93" s="5">
        <v>45299</v>
      </c>
      <c r="D93" t="s">
        <v>16</v>
      </c>
    </row>
    <row r="94" spans="3:4" x14ac:dyDescent="0.55000000000000004">
      <c r="C94" s="5">
        <v>45333</v>
      </c>
      <c r="D94" t="s">
        <v>17</v>
      </c>
    </row>
    <row r="95" spans="3:4" x14ac:dyDescent="0.55000000000000004">
      <c r="C95" s="5">
        <v>45334</v>
      </c>
      <c r="D95" t="s">
        <v>23</v>
      </c>
    </row>
    <row r="96" spans="3:4" x14ac:dyDescent="0.55000000000000004">
      <c r="C96" s="5">
        <v>45371</v>
      </c>
      <c r="D96" t="s">
        <v>18</v>
      </c>
    </row>
    <row r="97" spans="3:4" x14ac:dyDescent="0.55000000000000004">
      <c r="C97" s="5">
        <v>45411</v>
      </c>
      <c r="D97" t="s">
        <v>19</v>
      </c>
    </row>
    <row r="98" spans="3:4" x14ac:dyDescent="0.55000000000000004">
      <c r="C98" s="5">
        <v>45415</v>
      </c>
      <c r="D98" t="s">
        <v>20</v>
      </c>
    </row>
    <row r="99" spans="3:4" x14ac:dyDescent="0.55000000000000004">
      <c r="C99" s="5">
        <v>45416</v>
      </c>
      <c r="D99" t="s">
        <v>21</v>
      </c>
    </row>
    <row r="100" spans="3:4" x14ac:dyDescent="0.55000000000000004">
      <c r="C100" s="5">
        <v>45417</v>
      </c>
      <c r="D100" t="s">
        <v>22</v>
      </c>
    </row>
    <row r="101" spans="3:4" x14ac:dyDescent="0.55000000000000004">
      <c r="C101" s="5">
        <v>45418</v>
      </c>
      <c r="D101" t="s">
        <v>23</v>
      </c>
    </row>
    <row r="102" spans="3:4" x14ac:dyDescent="0.55000000000000004">
      <c r="C102" s="5">
        <v>45488</v>
      </c>
      <c r="D102" t="s">
        <v>24</v>
      </c>
    </row>
    <row r="103" spans="3:4" x14ac:dyDescent="0.55000000000000004">
      <c r="C103" s="5">
        <v>45515</v>
      </c>
      <c r="D103" t="s">
        <v>25</v>
      </c>
    </row>
    <row r="104" spans="3:4" x14ac:dyDescent="0.55000000000000004">
      <c r="C104" s="5">
        <v>45516</v>
      </c>
      <c r="D104" t="s">
        <v>23</v>
      </c>
    </row>
    <row r="105" spans="3:4" x14ac:dyDescent="0.55000000000000004">
      <c r="C105" s="5">
        <v>45551</v>
      </c>
      <c r="D105" t="s">
        <v>26</v>
      </c>
    </row>
    <row r="106" spans="3:4" x14ac:dyDescent="0.55000000000000004">
      <c r="C106" s="5">
        <v>45557</v>
      </c>
      <c r="D106" t="s">
        <v>27</v>
      </c>
    </row>
    <row r="107" spans="3:4" x14ac:dyDescent="0.55000000000000004">
      <c r="C107" s="5">
        <v>45558</v>
      </c>
      <c r="D107" t="s">
        <v>23</v>
      </c>
    </row>
    <row r="108" spans="3:4" x14ac:dyDescent="0.55000000000000004">
      <c r="C108" s="5">
        <v>45579</v>
      </c>
      <c r="D108" t="s">
        <v>28</v>
      </c>
    </row>
    <row r="109" spans="3:4" x14ac:dyDescent="0.55000000000000004">
      <c r="C109" s="5">
        <v>45599</v>
      </c>
      <c r="D109" t="s">
        <v>29</v>
      </c>
    </row>
    <row r="110" spans="3:4" x14ac:dyDescent="0.55000000000000004">
      <c r="C110" s="5">
        <v>45600</v>
      </c>
      <c r="D110" t="s">
        <v>23</v>
      </c>
    </row>
    <row r="111" spans="3:4" x14ac:dyDescent="0.55000000000000004">
      <c r="C111" s="5">
        <v>45619</v>
      </c>
      <c r="D111" t="s">
        <v>30</v>
      </c>
    </row>
    <row r="112" spans="3:4" x14ac:dyDescent="0.55000000000000004">
      <c r="C112" s="5">
        <v>45649</v>
      </c>
      <c r="D112" t="s">
        <v>31</v>
      </c>
    </row>
    <row r="113" spans="3:4" x14ac:dyDescent="0.55000000000000004">
      <c r="C113" s="5">
        <v>45658</v>
      </c>
      <c r="D113" t="s">
        <v>15</v>
      </c>
    </row>
    <row r="114" spans="3:4" x14ac:dyDescent="0.55000000000000004">
      <c r="C114" s="5">
        <v>45670</v>
      </c>
      <c r="D114" t="s">
        <v>16</v>
      </c>
    </row>
    <row r="115" spans="3:4" x14ac:dyDescent="0.55000000000000004">
      <c r="C115" s="5">
        <v>45699</v>
      </c>
      <c r="D115" t="s">
        <v>17</v>
      </c>
    </row>
    <row r="116" spans="3:4" x14ac:dyDescent="0.55000000000000004">
      <c r="C116" s="5">
        <v>45736</v>
      </c>
      <c r="D116" t="s">
        <v>18</v>
      </c>
    </row>
    <row r="117" spans="3:4" x14ac:dyDescent="0.55000000000000004">
      <c r="C117" s="5">
        <v>45776</v>
      </c>
      <c r="D117" t="s">
        <v>19</v>
      </c>
    </row>
    <row r="118" spans="3:4" x14ac:dyDescent="0.55000000000000004">
      <c r="C118" s="5">
        <v>45780</v>
      </c>
      <c r="D118" t="s">
        <v>20</v>
      </c>
    </row>
    <row r="119" spans="3:4" x14ac:dyDescent="0.55000000000000004">
      <c r="C119" s="5">
        <v>45781</v>
      </c>
      <c r="D119" t="s">
        <v>21</v>
      </c>
    </row>
    <row r="120" spans="3:4" x14ac:dyDescent="0.55000000000000004">
      <c r="C120" s="5">
        <v>45782</v>
      </c>
      <c r="D120" t="s">
        <v>22</v>
      </c>
    </row>
    <row r="121" spans="3:4" x14ac:dyDescent="0.55000000000000004">
      <c r="C121" s="5">
        <v>45783</v>
      </c>
      <c r="D121" t="s">
        <v>23</v>
      </c>
    </row>
    <row r="122" spans="3:4" x14ac:dyDescent="0.55000000000000004">
      <c r="C122" s="5">
        <v>45859</v>
      </c>
      <c r="D122" t="s">
        <v>24</v>
      </c>
    </row>
    <row r="123" spans="3:4" x14ac:dyDescent="0.55000000000000004">
      <c r="C123" s="5">
        <v>45880</v>
      </c>
      <c r="D123" t="s">
        <v>25</v>
      </c>
    </row>
    <row r="124" spans="3:4" x14ac:dyDescent="0.55000000000000004">
      <c r="C124" s="5">
        <v>45915</v>
      </c>
      <c r="D124" t="s">
        <v>26</v>
      </c>
    </row>
    <row r="125" spans="3:4" x14ac:dyDescent="0.55000000000000004">
      <c r="C125" s="5">
        <v>45923</v>
      </c>
      <c r="D125" t="s">
        <v>27</v>
      </c>
    </row>
    <row r="126" spans="3:4" x14ac:dyDescent="0.55000000000000004">
      <c r="C126" s="5">
        <v>45943</v>
      </c>
      <c r="D126" t="s">
        <v>28</v>
      </c>
    </row>
    <row r="127" spans="3:4" x14ac:dyDescent="0.55000000000000004">
      <c r="C127" s="5">
        <v>45964</v>
      </c>
      <c r="D127" t="s">
        <v>29</v>
      </c>
    </row>
    <row r="128" spans="3:4" x14ac:dyDescent="0.55000000000000004">
      <c r="C128" s="5">
        <v>45984</v>
      </c>
      <c r="D128" t="s">
        <v>30</v>
      </c>
    </row>
    <row r="129" spans="3:4" x14ac:dyDescent="0.55000000000000004">
      <c r="C129" s="5">
        <v>45985</v>
      </c>
      <c r="D129" t="s">
        <v>23</v>
      </c>
    </row>
    <row r="130" spans="3:4" x14ac:dyDescent="0.55000000000000004">
      <c r="C130" s="5">
        <v>46014</v>
      </c>
      <c r="D130" t="s">
        <v>31</v>
      </c>
    </row>
    <row r="131" spans="3:4" x14ac:dyDescent="0.55000000000000004">
      <c r="C131" s="5">
        <v>46023</v>
      </c>
      <c r="D131" t="s">
        <v>15</v>
      </c>
    </row>
    <row r="132" spans="3:4" x14ac:dyDescent="0.55000000000000004">
      <c r="C132" s="5">
        <v>46034</v>
      </c>
      <c r="D132" t="s">
        <v>16</v>
      </c>
    </row>
    <row r="133" spans="3:4" x14ac:dyDescent="0.55000000000000004">
      <c r="C133" s="5">
        <v>46064</v>
      </c>
      <c r="D133" t="s">
        <v>17</v>
      </c>
    </row>
    <row r="134" spans="3:4" x14ac:dyDescent="0.55000000000000004">
      <c r="C134" s="5">
        <v>46101</v>
      </c>
      <c r="D134" t="s">
        <v>18</v>
      </c>
    </row>
    <row r="135" spans="3:4" x14ac:dyDescent="0.55000000000000004">
      <c r="C135" s="5">
        <v>46141</v>
      </c>
      <c r="D135" t="s">
        <v>19</v>
      </c>
    </row>
    <row r="136" spans="3:4" x14ac:dyDescent="0.55000000000000004">
      <c r="C136" s="5">
        <v>46145</v>
      </c>
      <c r="D136" t="s">
        <v>20</v>
      </c>
    </row>
    <row r="137" spans="3:4" x14ac:dyDescent="0.55000000000000004">
      <c r="C137" s="5">
        <v>46146</v>
      </c>
      <c r="D137" t="s">
        <v>21</v>
      </c>
    </row>
    <row r="138" spans="3:4" x14ac:dyDescent="0.55000000000000004">
      <c r="C138" s="5">
        <v>46147</v>
      </c>
      <c r="D138" t="s">
        <v>22</v>
      </c>
    </row>
    <row r="139" spans="3:4" x14ac:dyDescent="0.55000000000000004">
      <c r="C139" s="5">
        <v>46148</v>
      </c>
      <c r="D139" t="s">
        <v>23</v>
      </c>
    </row>
    <row r="140" spans="3:4" x14ac:dyDescent="0.55000000000000004">
      <c r="C140" s="5">
        <v>46223</v>
      </c>
      <c r="D140" t="s">
        <v>24</v>
      </c>
    </row>
    <row r="141" spans="3:4" x14ac:dyDescent="0.55000000000000004">
      <c r="C141" s="5">
        <v>46245</v>
      </c>
      <c r="D141" t="s">
        <v>25</v>
      </c>
    </row>
    <row r="142" spans="3:4" x14ac:dyDescent="0.55000000000000004">
      <c r="C142" s="5">
        <v>46286</v>
      </c>
      <c r="D142" t="s">
        <v>26</v>
      </c>
    </row>
    <row r="143" spans="3:4" x14ac:dyDescent="0.55000000000000004">
      <c r="C143" s="5">
        <v>46287</v>
      </c>
      <c r="D143" t="s">
        <v>32</v>
      </c>
    </row>
    <row r="144" spans="3:4" x14ac:dyDescent="0.55000000000000004">
      <c r="C144" s="5">
        <v>46288</v>
      </c>
      <c r="D144" t="s">
        <v>27</v>
      </c>
    </row>
    <row r="145" spans="3:4" x14ac:dyDescent="0.55000000000000004">
      <c r="C145" s="5">
        <v>46307</v>
      </c>
      <c r="D145" t="s">
        <v>28</v>
      </c>
    </row>
    <row r="146" spans="3:4" x14ac:dyDescent="0.55000000000000004">
      <c r="C146" s="5">
        <v>46329</v>
      </c>
      <c r="D146" t="s">
        <v>29</v>
      </c>
    </row>
    <row r="147" spans="3:4" x14ac:dyDescent="0.55000000000000004">
      <c r="C147" s="5">
        <v>46349</v>
      </c>
      <c r="D147" t="s">
        <v>30</v>
      </c>
    </row>
    <row r="148" spans="3:4" x14ac:dyDescent="0.55000000000000004">
      <c r="C148" s="5">
        <v>46379</v>
      </c>
      <c r="D148" t="s">
        <v>31</v>
      </c>
    </row>
    <row r="149" spans="3:4" x14ac:dyDescent="0.55000000000000004">
      <c r="C149" s="5">
        <v>46388</v>
      </c>
      <c r="D149" t="s">
        <v>15</v>
      </c>
    </row>
    <row r="150" spans="3:4" x14ac:dyDescent="0.55000000000000004">
      <c r="C150" s="5">
        <v>46398</v>
      </c>
      <c r="D150" t="s">
        <v>16</v>
      </c>
    </row>
    <row r="151" spans="3:4" x14ac:dyDescent="0.55000000000000004">
      <c r="C151" s="5">
        <v>46429</v>
      </c>
      <c r="D151" t="s">
        <v>17</v>
      </c>
    </row>
    <row r="152" spans="3:4" x14ac:dyDescent="0.55000000000000004">
      <c r="C152" s="5">
        <v>46467</v>
      </c>
      <c r="D152" t="s">
        <v>18</v>
      </c>
    </row>
    <row r="153" spans="3:4" x14ac:dyDescent="0.55000000000000004">
      <c r="C153" s="5">
        <v>46468</v>
      </c>
      <c r="D153" t="s">
        <v>23</v>
      </c>
    </row>
    <row r="154" spans="3:4" x14ac:dyDescent="0.55000000000000004">
      <c r="C154" s="5">
        <v>46506</v>
      </c>
      <c r="D154" t="s">
        <v>19</v>
      </c>
    </row>
    <row r="155" spans="3:4" x14ac:dyDescent="0.55000000000000004">
      <c r="C155" s="5">
        <v>46510</v>
      </c>
      <c r="D155" t="s">
        <v>20</v>
      </c>
    </row>
    <row r="156" spans="3:4" x14ac:dyDescent="0.55000000000000004">
      <c r="C156" s="5">
        <v>46511</v>
      </c>
      <c r="D156" t="s">
        <v>21</v>
      </c>
    </row>
    <row r="157" spans="3:4" x14ac:dyDescent="0.55000000000000004">
      <c r="C157" s="5">
        <v>46512</v>
      </c>
      <c r="D157" t="s">
        <v>22</v>
      </c>
    </row>
    <row r="158" spans="3:4" x14ac:dyDescent="0.55000000000000004">
      <c r="C158" s="5">
        <v>46587</v>
      </c>
      <c r="D158" t="s">
        <v>24</v>
      </c>
    </row>
    <row r="159" spans="3:4" x14ac:dyDescent="0.55000000000000004">
      <c r="C159" s="5">
        <v>46610</v>
      </c>
      <c r="D159" t="s">
        <v>25</v>
      </c>
    </row>
    <row r="160" spans="3:4" x14ac:dyDescent="0.55000000000000004">
      <c r="C160" s="5">
        <v>46650</v>
      </c>
      <c r="D160" t="s">
        <v>26</v>
      </c>
    </row>
    <row r="161" spans="3:4" x14ac:dyDescent="0.55000000000000004">
      <c r="C161" s="5">
        <v>46653</v>
      </c>
      <c r="D161" t="s">
        <v>27</v>
      </c>
    </row>
    <row r="162" spans="3:4" x14ac:dyDescent="0.55000000000000004">
      <c r="C162" s="5">
        <v>46671</v>
      </c>
      <c r="D162" t="s">
        <v>28</v>
      </c>
    </row>
    <row r="163" spans="3:4" x14ac:dyDescent="0.55000000000000004">
      <c r="C163" s="5">
        <v>46694</v>
      </c>
      <c r="D163" t="s">
        <v>29</v>
      </c>
    </row>
    <row r="164" spans="3:4" x14ac:dyDescent="0.55000000000000004">
      <c r="C164" s="5">
        <v>46714</v>
      </c>
      <c r="D164" t="s">
        <v>30</v>
      </c>
    </row>
    <row r="165" spans="3:4" x14ac:dyDescent="0.55000000000000004">
      <c r="C165" s="5">
        <v>46744</v>
      </c>
      <c r="D165" t="s">
        <v>31</v>
      </c>
    </row>
    <row r="166" spans="3:4" x14ac:dyDescent="0.55000000000000004">
      <c r="C166" s="5">
        <v>46753</v>
      </c>
      <c r="D166" t="s">
        <v>15</v>
      </c>
    </row>
    <row r="167" spans="3:4" x14ac:dyDescent="0.55000000000000004">
      <c r="C167" s="5">
        <v>46762</v>
      </c>
      <c r="D167" t="s">
        <v>16</v>
      </c>
    </row>
    <row r="168" spans="3:4" x14ac:dyDescent="0.55000000000000004">
      <c r="C168" s="5">
        <v>46794</v>
      </c>
      <c r="D168" t="s">
        <v>17</v>
      </c>
    </row>
    <row r="169" spans="3:4" x14ac:dyDescent="0.55000000000000004">
      <c r="C169" s="5">
        <v>46832</v>
      </c>
      <c r="D169" t="s">
        <v>18</v>
      </c>
    </row>
    <row r="170" spans="3:4" x14ac:dyDescent="0.55000000000000004">
      <c r="C170" s="5">
        <v>46872</v>
      </c>
      <c r="D170" t="s">
        <v>19</v>
      </c>
    </row>
    <row r="171" spans="3:4" x14ac:dyDescent="0.55000000000000004">
      <c r="C171" s="5">
        <v>46876</v>
      </c>
      <c r="D171" t="s">
        <v>20</v>
      </c>
    </row>
    <row r="172" spans="3:4" x14ac:dyDescent="0.55000000000000004">
      <c r="C172" s="5">
        <v>46877</v>
      </c>
      <c r="D172" t="s">
        <v>21</v>
      </c>
    </row>
    <row r="173" spans="3:4" x14ac:dyDescent="0.55000000000000004">
      <c r="C173" s="5">
        <v>46878</v>
      </c>
      <c r="D173" t="s">
        <v>22</v>
      </c>
    </row>
    <row r="174" spans="3:4" x14ac:dyDescent="0.55000000000000004">
      <c r="C174" s="5">
        <v>46951</v>
      </c>
      <c r="D174" t="s">
        <v>24</v>
      </c>
    </row>
    <row r="175" spans="3:4" x14ac:dyDescent="0.55000000000000004">
      <c r="C175" s="5">
        <v>46976</v>
      </c>
      <c r="D175" t="s">
        <v>25</v>
      </c>
    </row>
    <row r="176" spans="3:4" x14ac:dyDescent="0.55000000000000004">
      <c r="C176" s="5">
        <v>47014</v>
      </c>
      <c r="D176" t="s">
        <v>26</v>
      </c>
    </row>
    <row r="177" spans="3:4" x14ac:dyDescent="0.55000000000000004">
      <c r="C177" s="5">
        <v>47018</v>
      </c>
      <c r="D177" t="s">
        <v>27</v>
      </c>
    </row>
    <row r="178" spans="3:4" x14ac:dyDescent="0.55000000000000004">
      <c r="C178" s="5">
        <v>47035</v>
      </c>
      <c r="D178" t="s">
        <v>28</v>
      </c>
    </row>
    <row r="179" spans="3:4" x14ac:dyDescent="0.55000000000000004">
      <c r="C179" s="5">
        <v>47060</v>
      </c>
      <c r="D179" t="s">
        <v>29</v>
      </c>
    </row>
    <row r="180" spans="3:4" x14ac:dyDescent="0.55000000000000004">
      <c r="C180" s="5">
        <v>47080</v>
      </c>
      <c r="D180" t="s">
        <v>30</v>
      </c>
    </row>
    <row r="181" spans="3:4" x14ac:dyDescent="0.55000000000000004">
      <c r="C181" s="5">
        <v>47110</v>
      </c>
      <c r="D181" t="s">
        <v>31</v>
      </c>
    </row>
    <row r="182" spans="3:4" x14ac:dyDescent="0.55000000000000004">
      <c r="C182" s="5">
        <v>47119</v>
      </c>
      <c r="D182" t="s">
        <v>15</v>
      </c>
    </row>
    <row r="183" spans="3:4" x14ac:dyDescent="0.55000000000000004">
      <c r="C183" s="5">
        <v>47126</v>
      </c>
      <c r="D183" t="s">
        <v>16</v>
      </c>
    </row>
    <row r="184" spans="3:4" x14ac:dyDescent="0.55000000000000004">
      <c r="C184" s="5">
        <v>47160</v>
      </c>
      <c r="D184" t="s">
        <v>17</v>
      </c>
    </row>
    <row r="185" spans="3:4" x14ac:dyDescent="0.55000000000000004">
      <c r="C185" s="5">
        <v>47161</v>
      </c>
      <c r="D185" t="s">
        <v>23</v>
      </c>
    </row>
    <row r="186" spans="3:4" x14ac:dyDescent="0.55000000000000004">
      <c r="C186" s="5">
        <v>47197</v>
      </c>
      <c r="D186" t="s">
        <v>18</v>
      </c>
    </row>
    <row r="187" spans="3:4" x14ac:dyDescent="0.55000000000000004">
      <c r="C187" s="5">
        <v>47237</v>
      </c>
      <c r="D187" t="s">
        <v>19</v>
      </c>
    </row>
    <row r="188" spans="3:4" x14ac:dyDescent="0.55000000000000004">
      <c r="C188" s="5">
        <v>47238</v>
      </c>
      <c r="D188" t="s">
        <v>23</v>
      </c>
    </row>
    <row r="189" spans="3:4" x14ac:dyDescent="0.55000000000000004">
      <c r="C189" s="5">
        <v>47241</v>
      </c>
      <c r="D189" t="s">
        <v>20</v>
      </c>
    </row>
    <row r="190" spans="3:4" x14ac:dyDescent="0.55000000000000004">
      <c r="C190" s="5">
        <v>47242</v>
      </c>
      <c r="D190" t="s">
        <v>21</v>
      </c>
    </row>
    <row r="191" spans="3:4" x14ac:dyDescent="0.55000000000000004">
      <c r="C191" s="5">
        <v>47243</v>
      </c>
      <c r="D191" t="s">
        <v>22</v>
      </c>
    </row>
    <row r="192" spans="3:4" x14ac:dyDescent="0.55000000000000004">
      <c r="C192" s="5">
        <v>47315</v>
      </c>
      <c r="D192" t="s">
        <v>24</v>
      </c>
    </row>
    <row r="193" spans="3:4" x14ac:dyDescent="0.55000000000000004">
      <c r="C193" s="5">
        <v>47341</v>
      </c>
      <c r="D193" t="s">
        <v>25</v>
      </c>
    </row>
    <row r="194" spans="3:4" x14ac:dyDescent="0.55000000000000004">
      <c r="C194" s="5">
        <v>47378</v>
      </c>
      <c r="D194" t="s">
        <v>26</v>
      </c>
    </row>
    <row r="195" spans="3:4" x14ac:dyDescent="0.55000000000000004">
      <c r="C195" s="5">
        <v>47384</v>
      </c>
      <c r="D195" t="s">
        <v>27</v>
      </c>
    </row>
    <row r="196" spans="3:4" x14ac:dyDescent="0.55000000000000004">
      <c r="C196" s="5">
        <v>47385</v>
      </c>
      <c r="D196" t="s">
        <v>23</v>
      </c>
    </row>
    <row r="197" spans="3:4" x14ac:dyDescent="0.55000000000000004">
      <c r="C197" s="5">
        <v>47399</v>
      </c>
      <c r="D197" t="s">
        <v>28</v>
      </c>
    </row>
    <row r="198" spans="3:4" x14ac:dyDescent="0.55000000000000004">
      <c r="C198" s="5">
        <v>47425</v>
      </c>
      <c r="D198" t="s">
        <v>29</v>
      </c>
    </row>
    <row r="199" spans="3:4" x14ac:dyDescent="0.55000000000000004">
      <c r="C199" s="5">
        <v>47445</v>
      </c>
      <c r="D199" t="s">
        <v>30</v>
      </c>
    </row>
    <row r="200" spans="3:4" x14ac:dyDescent="0.55000000000000004">
      <c r="C200" s="5">
        <v>47475</v>
      </c>
      <c r="D200" t="s">
        <v>31</v>
      </c>
    </row>
    <row r="201" spans="3:4" x14ac:dyDescent="0.55000000000000004">
      <c r="C201" s="5">
        <v>47476</v>
      </c>
      <c r="D201" t="s">
        <v>23</v>
      </c>
    </row>
    <row r="202" spans="3:4" x14ac:dyDescent="0.55000000000000004">
      <c r="C202" s="5">
        <v>47484</v>
      </c>
      <c r="D202" t="s">
        <v>15</v>
      </c>
    </row>
    <row r="203" spans="3:4" x14ac:dyDescent="0.55000000000000004">
      <c r="C203" s="5">
        <v>47497</v>
      </c>
      <c r="D203" t="s">
        <v>16</v>
      </c>
    </row>
    <row r="204" spans="3:4" x14ac:dyDescent="0.55000000000000004">
      <c r="C204" s="5">
        <v>47525</v>
      </c>
      <c r="D204" t="s">
        <v>17</v>
      </c>
    </row>
    <row r="205" spans="3:4" x14ac:dyDescent="0.55000000000000004">
      <c r="C205" s="5">
        <v>47562</v>
      </c>
      <c r="D205" t="s">
        <v>18</v>
      </c>
    </row>
    <row r="206" spans="3:4" x14ac:dyDescent="0.55000000000000004">
      <c r="C206" s="5">
        <v>47602</v>
      </c>
      <c r="D206" t="s">
        <v>19</v>
      </c>
    </row>
    <row r="207" spans="3:4" x14ac:dyDescent="0.55000000000000004">
      <c r="C207" s="5">
        <v>47606</v>
      </c>
      <c r="D207" t="s">
        <v>20</v>
      </c>
    </row>
    <row r="208" spans="3:4" x14ac:dyDescent="0.55000000000000004">
      <c r="C208" s="5">
        <v>47607</v>
      </c>
      <c r="D208" t="s">
        <v>21</v>
      </c>
    </row>
    <row r="209" spans="3:4" x14ac:dyDescent="0.55000000000000004">
      <c r="C209" s="5">
        <v>47608</v>
      </c>
      <c r="D209" t="s">
        <v>22</v>
      </c>
    </row>
    <row r="210" spans="3:4" x14ac:dyDescent="0.55000000000000004">
      <c r="C210" s="5">
        <v>47609</v>
      </c>
      <c r="D210" t="s">
        <v>23</v>
      </c>
    </row>
    <row r="211" spans="3:4" x14ac:dyDescent="0.55000000000000004">
      <c r="C211" s="5">
        <v>47679</v>
      </c>
      <c r="D211" t="s">
        <v>24</v>
      </c>
    </row>
    <row r="212" spans="3:4" x14ac:dyDescent="0.55000000000000004">
      <c r="C212" s="5">
        <v>47706</v>
      </c>
      <c r="D212" t="s">
        <v>25</v>
      </c>
    </row>
    <row r="213" spans="3:4" x14ac:dyDescent="0.55000000000000004">
      <c r="C213" s="5">
        <v>47707</v>
      </c>
      <c r="D213" t="s">
        <v>23</v>
      </c>
    </row>
    <row r="214" spans="3:4" x14ac:dyDescent="0.55000000000000004">
      <c r="C214" s="5">
        <v>47742</v>
      </c>
      <c r="D214" t="s">
        <v>26</v>
      </c>
    </row>
    <row r="215" spans="3:4" x14ac:dyDescent="0.55000000000000004">
      <c r="C215" s="5">
        <v>47749</v>
      </c>
      <c r="D215" t="s">
        <v>27</v>
      </c>
    </row>
    <row r="216" spans="3:4" x14ac:dyDescent="0.55000000000000004">
      <c r="C216" s="5">
        <v>47770</v>
      </c>
      <c r="D216" t="s">
        <v>28</v>
      </c>
    </row>
    <row r="217" spans="3:4" x14ac:dyDescent="0.55000000000000004">
      <c r="C217" s="5">
        <v>47790</v>
      </c>
      <c r="D217" t="s">
        <v>29</v>
      </c>
    </row>
    <row r="218" spans="3:4" x14ac:dyDescent="0.55000000000000004">
      <c r="C218" s="5">
        <v>47791</v>
      </c>
      <c r="D218" t="s">
        <v>23</v>
      </c>
    </row>
    <row r="219" spans="3:4" x14ac:dyDescent="0.55000000000000004">
      <c r="C219" s="5">
        <v>47810</v>
      </c>
      <c r="D219" t="s">
        <v>30</v>
      </c>
    </row>
    <row r="220" spans="3:4" x14ac:dyDescent="0.55000000000000004">
      <c r="C220" s="5">
        <v>47840</v>
      </c>
      <c r="D220" t="s">
        <v>31</v>
      </c>
    </row>
    <row r="221" spans="3:4" x14ac:dyDescent="0.55000000000000004">
      <c r="C221" s="5">
        <v>47849</v>
      </c>
      <c r="D221" t="s">
        <v>15</v>
      </c>
    </row>
    <row r="222" spans="3:4" x14ac:dyDescent="0.55000000000000004">
      <c r="C222" s="5">
        <v>47861</v>
      </c>
      <c r="D222" t="s">
        <v>16</v>
      </c>
    </row>
    <row r="223" spans="3:4" x14ac:dyDescent="0.55000000000000004">
      <c r="C223" s="5">
        <v>47890</v>
      </c>
      <c r="D223" t="s">
        <v>17</v>
      </c>
    </row>
    <row r="224" spans="3:4" x14ac:dyDescent="0.55000000000000004">
      <c r="C224" s="5">
        <v>47928</v>
      </c>
      <c r="D224" t="s">
        <v>18</v>
      </c>
    </row>
    <row r="225" spans="3:4" x14ac:dyDescent="0.55000000000000004">
      <c r="C225" s="5">
        <v>47967</v>
      </c>
      <c r="D225" t="s">
        <v>19</v>
      </c>
    </row>
    <row r="226" spans="3:4" x14ac:dyDescent="0.55000000000000004">
      <c r="C226" s="5">
        <v>47971</v>
      </c>
      <c r="D226" t="s">
        <v>20</v>
      </c>
    </row>
    <row r="227" spans="3:4" x14ac:dyDescent="0.55000000000000004">
      <c r="C227" s="5">
        <v>47972</v>
      </c>
      <c r="D227" t="s">
        <v>21</v>
      </c>
    </row>
    <row r="228" spans="3:4" x14ac:dyDescent="0.55000000000000004">
      <c r="C228" s="5">
        <v>47973</v>
      </c>
      <c r="D228" t="s">
        <v>22</v>
      </c>
    </row>
    <row r="229" spans="3:4" x14ac:dyDescent="0.55000000000000004">
      <c r="C229" s="5">
        <v>47974</v>
      </c>
      <c r="D229" t="s">
        <v>23</v>
      </c>
    </row>
    <row r="230" spans="3:4" x14ac:dyDescent="0.55000000000000004">
      <c r="C230" s="5">
        <v>48050</v>
      </c>
      <c r="D230" t="s">
        <v>24</v>
      </c>
    </row>
    <row r="231" spans="3:4" x14ac:dyDescent="0.55000000000000004">
      <c r="C231" s="5">
        <v>48071</v>
      </c>
      <c r="D231" t="s">
        <v>25</v>
      </c>
    </row>
    <row r="232" spans="3:4" x14ac:dyDescent="0.55000000000000004">
      <c r="C232" s="5">
        <v>48106</v>
      </c>
      <c r="D232" t="s">
        <v>26</v>
      </c>
    </row>
    <row r="233" spans="3:4" x14ac:dyDescent="0.55000000000000004">
      <c r="C233" s="5">
        <v>48114</v>
      </c>
      <c r="D233" t="s">
        <v>27</v>
      </c>
    </row>
    <row r="234" spans="3:4" x14ac:dyDescent="0.55000000000000004">
      <c r="C234" s="5">
        <v>48134</v>
      </c>
      <c r="D234" t="s">
        <v>28</v>
      </c>
    </row>
    <row r="235" spans="3:4" x14ac:dyDescent="0.55000000000000004">
      <c r="C235" s="5">
        <v>48155</v>
      </c>
      <c r="D235" t="s">
        <v>29</v>
      </c>
    </row>
    <row r="236" spans="3:4" x14ac:dyDescent="0.55000000000000004">
      <c r="C236" s="5">
        <v>48175</v>
      </c>
      <c r="D236" t="s">
        <v>30</v>
      </c>
    </row>
    <row r="237" spans="3:4" x14ac:dyDescent="0.55000000000000004">
      <c r="C237" s="5">
        <v>48176</v>
      </c>
      <c r="D237" t="s">
        <v>23</v>
      </c>
    </row>
    <row r="238" spans="3:4" x14ac:dyDescent="0.55000000000000004">
      <c r="C238" s="5">
        <v>48205</v>
      </c>
      <c r="D238" t="s">
        <v>31</v>
      </c>
    </row>
    <row r="239" spans="3:4" x14ac:dyDescent="0.55000000000000004">
      <c r="C239" s="5">
        <v>48214</v>
      </c>
      <c r="D239" t="s">
        <v>15</v>
      </c>
    </row>
    <row r="240" spans="3:4" x14ac:dyDescent="0.55000000000000004">
      <c r="C240" s="5">
        <v>48225</v>
      </c>
      <c r="D240" t="s">
        <v>16</v>
      </c>
    </row>
    <row r="241" spans="3:4" x14ac:dyDescent="0.55000000000000004">
      <c r="C241" s="5">
        <v>48255</v>
      </c>
      <c r="D241" t="s">
        <v>17</v>
      </c>
    </row>
    <row r="242" spans="3:4" x14ac:dyDescent="0.55000000000000004">
      <c r="C242" s="5">
        <v>48293</v>
      </c>
      <c r="D242" t="s">
        <v>18</v>
      </c>
    </row>
    <row r="243" spans="3:4" x14ac:dyDescent="0.55000000000000004">
      <c r="C243" s="5">
        <v>48333</v>
      </c>
      <c r="D243" t="s">
        <v>19</v>
      </c>
    </row>
    <row r="244" spans="3:4" x14ac:dyDescent="0.55000000000000004">
      <c r="C244" s="5">
        <v>48337</v>
      </c>
      <c r="D244" t="s">
        <v>20</v>
      </c>
    </row>
    <row r="245" spans="3:4" x14ac:dyDescent="0.55000000000000004">
      <c r="C245" s="5">
        <v>48338</v>
      </c>
      <c r="D245" t="s">
        <v>21</v>
      </c>
    </row>
    <row r="246" spans="3:4" x14ac:dyDescent="0.55000000000000004">
      <c r="C246" s="5">
        <v>48339</v>
      </c>
      <c r="D246" t="s">
        <v>22</v>
      </c>
    </row>
    <row r="247" spans="3:4" x14ac:dyDescent="0.55000000000000004">
      <c r="C247" s="5">
        <v>48414</v>
      </c>
      <c r="D247" t="s">
        <v>24</v>
      </c>
    </row>
    <row r="248" spans="3:4" x14ac:dyDescent="0.55000000000000004">
      <c r="C248" s="5">
        <v>48437</v>
      </c>
      <c r="D248" t="s">
        <v>25</v>
      </c>
    </row>
    <row r="249" spans="3:4" x14ac:dyDescent="0.55000000000000004">
      <c r="C249" s="5">
        <v>48477</v>
      </c>
      <c r="D249" t="s">
        <v>26</v>
      </c>
    </row>
    <row r="250" spans="3:4" x14ac:dyDescent="0.55000000000000004">
      <c r="C250" s="5">
        <v>48478</v>
      </c>
      <c r="D250" t="s">
        <v>32</v>
      </c>
    </row>
    <row r="251" spans="3:4" x14ac:dyDescent="0.55000000000000004">
      <c r="C251" s="5">
        <v>48479</v>
      </c>
      <c r="D251" t="s">
        <v>27</v>
      </c>
    </row>
    <row r="252" spans="3:4" x14ac:dyDescent="0.55000000000000004">
      <c r="C252" s="5">
        <v>48498</v>
      </c>
      <c r="D252" t="s">
        <v>28</v>
      </c>
    </row>
    <row r="253" spans="3:4" x14ac:dyDescent="0.55000000000000004">
      <c r="C253" s="5">
        <v>48521</v>
      </c>
      <c r="D253" t="s">
        <v>29</v>
      </c>
    </row>
    <row r="254" spans="3:4" x14ac:dyDescent="0.55000000000000004">
      <c r="C254" s="5">
        <v>48541</v>
      </c>
      <c r="D254" t="s">
        <v>30</v>
      </c>
    </row>
    <row r="255" spans="3:4" x14ac:dyDescent="0.55000000000000004">
      <c r="C255" s="5">
        <v>48571</v>
      </c>
      <c r="D255" t="s">
        <v>31</v>
      </c>
    </row>
    <row r="256" spans="3:4" x14ac:dyDescent="0.55000000000000004">
      <c r="C256" s="5">
        <v>48580</v>
      </c>
      <c r="D256" t="s">
        <v>15</v>
      </c>
    </row>
    <row r="257" spans="3:4" x14ac:dyDescent="0.55000000000000004">
      <c r="C257" s="5">
        <v>48589</v>
      </c>
      <c r="D257" t="s">
        <v>16</v>
      </c>
    </row>
    <row r="258" spans="3:4" x14ac:dyDescent="0.55000000000000004">
      <c r="C258" s="5">
        <v>48621</v>
      </c>
      <c r="D258" t="s">
        <v>17</v>
      </c>
    </row>
    <row r="259" spans="3:4" x14ac:dyDescent="0.55000000000000004">
      <c r="C259" s="5">
        <v>48658</v>
      </c>
      <c r="D259" t="s">
        <v>18</v>
      </c>
    </row>
    <row r="260" spans="3:4" x14ac:dyDescent="0.55000000000000004">
      <c r="C260" s="5">
        <v>48659</v>
      </c>
      <c r="D260" t="s">
        <v>23</v>
      </c>
    </row>
    <row r="261" spans="3:4" x14ac:dyDescent="0.55000000000000004">
      <c r="C261" s="5">
        <v>48698</v>
      </c>
      <c r="D261" t="s">
        <v>19</v>
      </c>
    </row>
    <row r="262" spans="3:4" x14ac:dyDescent="0.55000000000000004">
      <c r="C262" s="5">
        <v>48702</v>
      </c>
      <c r="D262" t="s">
        <v>20</v>
      </c>
    </row>
    <row r="263" spans="3:4" x14ac:dyDescent="0.55000000000000004">
      <c r="C263" s="5">
        <v>48703</v>
      </c>
      <c r="D263" t="s">
        <v>21</v>
      </c>
    </row>
    <row r="264" spans="3:4" x14ac:dyDescent="0.55000000000000004">
      <c r="C264" s="5">
        <v>48704</v>
      </c>
      <c r="D264" t="s">
        <v>22</v>
      </c>
    </row>
    <row r="265" spans="3:4" x14ac:dyDescent="0.55000000000000004">
      <c r="C265" s="5">
        <v>48778</v>
      </c>
      <c r="D265" t="s">
        <v>24</v>
      </c>
    </row>
    <row r="266" spans="3:4" x14ac:dyDescent="0.55000000000000004">
      <c r="C266" s="5">
        <v>48802</v>
      </c>
      <c r="D266" t="s">
        <v>25</v>
      </c>
    </row>
    <row r="267" spans="3:4" x14ac:dyDescent="0.55000000000000004">
      <c r="C267" s="5">
        <v>48841</v>
      </c>
      <c r="D267" t="s">
        <v>26</v>
      </c>
    </row>
    <row r="268" spans="3:4" x14ac:dyDescent="0.55000000000000004">
      <c r="C268" s="5">
        <v>48845</v>
      </c>
      <c r="D268" t="s">
        <v>27</v>
      </c>
    </row>
    <row r="269" spans="3:4" x14ac:dyDescent="0.55000000000000004">
      <c r="C269" s="5">
        <v>48862</v>
      </c>
      <c r="D269" t="s">
        <v>28</v>
      </c>
    </row>
    <row r="270" spans="3:4" x14ac:dyDescent="0.55000000000000004">
      <c r="C270" s="5">
        <v>48886</v>
      </c>
      <c r="D270" t="s">
        <v>29</v>
      </c>
    </row>
    <row r="271" spans="3:4" x14ac:dyDescent="0.55000000000000004">
      <c r="C271" s="5">
        <v>48906</v>
      </c>
      <c r="D271" t="s">
        <v>30</v>
      </c>
    </row>
    <row r="272" spans="3:4" x14ac:dyDescent="0.55000000000000004">
      <c r="C272" s="5">
        <v>48936</v>
      </c>
      <c r="D272" t="s">
        <v>31</v>
      </c>
    </row>
    <row r="273" spans="3:4" x14ac:dyDescent="0.55000000000000004">
      <c r="C273" s="5">
        <v>48945</v>
      </c>
      <c r="D273" t="s">
        <v>15</v>
      </c>
    </row>
    <row r="274" spans="3:4" x14ac:dyDescent="0.55000000000000004">
      <c r="C274" s="5">
        <v>48946</v>
      </c>
      <c r="D274" t="s">
        <v>23</v>
      </c>
    </row>
    <row r="275" spans="3:4" x14ac:dyDescent="0.55000000000000004">
      <c r="C275" s="5">
        <v>48953</v>
      </c>
      <c r="D275" t="s">
        <v>16</v>
      </c>
    </row>
    <row r="276" spans="3:4" x14ac:dyDescent="0.55000000000000004">
      <c r="C276" s="5">
        <v>48986</v>
      </c>
      <c r="D276" t="s">
        <v>17</v>
      </c>
    </row>
    <row r="277" spans="3:4" x14ac:dyDescent="0.55000000000000004">
      <c r="C277" s="5">
        <v>49023</v>
      </c>
      <c r="D277" t="s">
        <v>18</v>
      </c>
    </row>
    <row r="278" spans="3:4" x14ac:dyDescent="0.55000000000000004">
      <c r="C278" s="5">
        <v>49063</v>
      </c>
      <c r="D278" t="s">
        <v>19</v>
      </c>
    </row>
    <row r="279" spans="3:4" x14ac:dyDescent="0.55000000000000004">
      <c r="C279" s="5">
        <v>49067</v>
      </c>
      <c r="D279" t="s">
        <v>20</v>
      </c>
    </row>
    <row r="280" spans="3:4" x14ac:dyDescent="0.55000000000000004">
      <c r="C280" s="5">
        <v>49068</v>
      </c>
      <c r="D280" t="s">
        <v>21</v>
      </c>
    </row>
    <row r="281" spans="3:4" x14ac:dyDescent="0.55000000000000004">
      <c r="C281" s="5">
        <v>49069</v>
      </c>
      <c r="D281" t="s">
        <v>22</v>
      </c>
    </row>
    <row r="282" spans="3:4" x14ac:dyDescent="0.55000000000000004">
      <c r="C282" s="5">
        <v>49142</v>
      </c>
      <c r="D282" t="s">
        <v>24</v>
      </c>
    </row>
    <row r="283" spans="3:4" x14ac:dyDescent="0.55000000000000004">
      <c r="C283" s="5">
        <v>49167</v>
      </c>
      <c r="D283" t="s">
        <v>25</v>
      </c>
    </row>
    <row r="284" spans="3:4" x14ac:dyDescent="0.55000000000000004">
      <c r="C284" s="5">
        <v>49205</v>
      </c>
      <c r="D284" t="s">
        <v>26</v>
      </c>
    </row>
    <row r="285" spans="3:4" x14ac:dyDescent="0.55000000000000004">
      <c r="C285" s="5">
        <v>49210</v>
      </c>
      <c r="D285" t="s">
        <v>27</v>
      </c>
    </row>
    <row r="286" spans="3:4" x14ac:dyDescent="0.55000000000000004">
      <c r="C286" s="5">
        <v>49226</v>
      </c>
      <c r="D286" t="s">
        <v>28</v>
      </c>
    </row>
    <row r="287" spans="3:4" x14ac:dyDescent="0.55000000000000004">
      <c r="C287" s="5">
        <v>49251</v>
      </c>
      <c r="D287" t="s">
        <v>29</v>
      </c>
    </row>
    <row r="288" spans="3:4" x14ac:dyDescent="0.55000000000000004">
      <c r="C288" s="5">
        <v>49271</v>
      </c>
      <c r="D288" t="s">
        <v>30</v>
      </c>
    </row>
    <row r="289" spans="3:4" x14ac:dyDescent="0.55000000000000004">
      <c r="C289" s="5">
        <v>49301</v>
      </c>
      <c r="D289" t="s">
        <v>31</v>
      </c>
    </row>
    <row r="290" spans="3:4" x14ac:dyDescent="0.55000000000000004">
      <c r="C290" s="5">
        <v>49310</v>
      </c>
      <c r="D290" t="s">
        <v>15</v>
      </c>
    </row>
    <row r="291" spans="3:4" x14ac:dyDescent="0.55000000000000004">
      <c r="C291" s="5">
        <v>49317</v>
      </c>
      <c r="D291" t="s">
        <v>16</v>
      </c>
    </row>
    <row r="292" spans="3:4" x14ac:dyDescent="0.55000000000000004">
      <c r="C292" s="5">
        <v>49351</v>
      </c>
      <c r="D292" t="s">
        <v>17</v>
      </c>
    </row>
    <row r="293" spans="3:4" x14ac:dyDescent="0.55000000000000004">
      <c r="C293" s="5">
        <v>49352</v>
      </c>
      <c r="D293" t="s">
        <v>23</v>
      </c>
    </row>
    <row r="294" spans="3:4" x14ac:dyDescent="0.55000000000000004">
      <c r="C294" s="5">
        <v>49389</v>
      </c>
      <c r="D294" t="s">
        <v>18</v>
      </c>
    </row>
    <row r="295" spans="3:4" x14ac:dyDescent="0.55000000000000004">
      <c r="C295" s="5">
        <v>49428</v>
      </c>
      <c r="D295" t="s">
        <v>19</v>
      </c>
    </row>
    <row r="296" spans="3:4" x14ac:dyDescent="0.55000000000000004">
      <c r="C296" s="5">
        <v>49429</v>
      </c>
      <c r="D296" t="s">
        <v>23</v>
      </c>
    </row>
    <row r="297" spans="3:4" x14ac:dyDescent="0.55000000000000004">
      <c r="C297" s="5">
        <v>49432</v>
      </c>
      <c r="D297" t="s">
        <v>20</v>
      </c>
    </row>
    <row r="298" spans="3:4" x14ac:dyDescent="0.55000000000000004">
      <c r="C298" s="5">
        <v>49433</v>
      </c>
      <c r="D298" t="s">
        <v>21</v>
      </c>
    </row>
    <row r="299" spans="3:4" x14ac:dyDescent="0.55000000000000004">
      <c r="C299" s="5">
        <v>49434</v>
      </c>
      <c r="D299" t="s">
        <v>22</v>
      </c>
    </row>
    <row r="300" spans="3:4" x14ac:dyDescent="0.55000000000000004">
      <c r="C300" s="5">
        <v>49506</v>
      </c>
      <c r="D300" t="s">
        <v>24</v>
      </c>
    </row>
    <row r="301" spans="3:4" x14ac:dyDescent="0.55000000000000004">
      <c r="C301" s="5">
        <v>49532</v>
      </c>
      <c r="D301" t="s">
        <v>25</v>
      </c>
    </row>
    <row r="302" spans="3:4" x14ac:dyDescent="0.55000000000000004">
      <c r="C302" s="5">
        <v>49569</v>
      </c>
      <c r="D302" t="s">
        <v>26</v>
      </c>
    </row>
    <row r="303" spans="3:4" x14ac:dyDescent="0.55000000000000004">
      <c r="C303" s="5">
        <v>49575</v>
      </c>
      <c r="D303" t="s">
        <v>27</v>
      </c>
    </row>
    <row r="304" spans="3:4" x14ac:dyDescent="0.55000000000000004">
      <c r="C304" s="5">
        <v>49576</v>
      </c>
      <c r="D304" t="s">
        <v>23</v>
      </c>
    </row>
    <row r="305" spans="3:4" x14ac:dyDescent="0.55000000000000004">
      <c r="C305" s="5">
        <v>49590</v>
      </c>
      <c r="D305" t="s">
        <v>28</v>
      </c>
    </row>
    <row r="306" spans="3:4" x14ac:dyDescent="0.55000000000000004">
      <c r="C306" s="5">
        <v>49616</v>
      </c>
      <c r="D306" t="s">
        <v>29</v>
      </c>
    </row>
    <row r="307" spans="3:4" x14ac:dyDescent="0.55000000000000004">
      <c r="C307" s="5">
        <v>49636</v>
      </c>
      <c r="D307" t="s">
        <v>30</v>
      </c>
    </row>
    <row r="308" spans="3:4" x14ac:dyDescent="0.55000000000000004">
      <c r="C308" s="5">
        <v>49666</v>
      </c>
      <c r="D308" t="s">
        <v>31</v>
      </c>
    </row>
    <row r="309" spans="3:4" x14ac:dyDescent="0.55000000000000004">
      <c r="C309" s="5">
        <v>49667</v>
      </c>
      <c r="D309" t="s">
        <v>23</v>
      </c>
    </row>
    <row r="310" spans="3:4" x14ac:dyDescent="0.55000000000000004">
      <c r="C310" s="5">
        <v>49675</v>
      </c>
      <c r="D310" t="s">
        <v>15</v>
      </c>
    </row>
    <row r="311" spans="3:4" x14ac:dyDescent="0.55000000000000004">
      <c r="C311" s="5">
        <v>49688</v>
      </c>
      <c r="D311" t="s">
        <v>16</v>
      </c>
    </row>
    <row r="312" spans="3:4" x14ac:dyDescent="0.55000000000000004">
      <c r="C312" s="5">
        <v>49716</v>
      </c>
      <c r="D312" t="s">
        <v>17</v>
      </c>
    </row>
    <row r="313" spans="3:4" x14ac:dyDescent="0.55000000000000004">
      <c r="C313" s="5">
        <v>49754</v>
      </c>
      <c r="D313" t="s">
        <v>18</v>
      </c>
    </row>
    <row r="314" spans="3:4" x14ac:dyDescent="0.55000000000000004">
      <c r="C314" s="5">
        <v>49794</v>
      </c>
      <c r="D314" t="s">
        <v>19</v>
      </c>
    </row>
    <row r="315" spans="3:4" x14ac:dyDescent="0.55000000000000004">
      <c r="C315" s="5">
        <v>49798</v>
      </c>
      <c r="D315" t="s">
        <v>20</v>
      </c>
    </row>
    <row r="316" spans="3:4" x14ac:dyDescent="0.55000000000000004">
      <c r="C316" s="5">
        <v>49799</v>
      </c>
      <c r="D316" t="s">
        <v>21</v>
      </c>
    </row>
    <row r="317" spans="3:4" x14ac:dyDescent="0.55000000000000004">
      <c r="C317" s="5">
        <v>49800</v>
      </c>
      <c r="D317" t="s">
        <v>22</v>
      </c>
    </row>
    <row r="318" spans="3:4" x14ac:dyDescent="0.55000000000000004">
      <c r="C318" s="5">
        <v>49801</v>
      </c>
      <c r="D318" t="s">
        <v>23</v>
      </c>
    </row>
    <row r="319" spans="3:4" x14ac:dyDescent="0.55000000000000004">
      <c r="C319" s="5">
        <v>49877</v>
      </c>
      <c r="D319" t="s">
        <v>24</v>
      </c>
    </row>
    <row r="320" spans="3:4" x14ac:dyDescent="0.55000000000000004">
      <c r="C320" s="5">
        <v>49898</v>
      </c>
      <c r="D320" t="s">
        <v>25</v>
      </c>
    </row>
    <row r="321" spans="3:4" x14ac:dyDescent="0.55000000000000004">
      <c r="C321" s="5">
        <v>49933</v>
      </c>
      <c r="D321" t="s">
        <v>26</v>
      </c>
    </row>
    <row r="322" spans="3:4" x14ac:dyDescent="0.55000000000000004">
      <c r="C322" s="5">
        <v>49940</v>
      </c>
      <c r="D322" t="s">
        <v>27</v>
      </c>
    </row>
    <row r="323" spans="3:4" x14ac:dyDescent="0.55000000000000004">
      <c r="C323" s="5">
        <v>49961</v>
      </c>
      <c r="D323" t="s">
        <v>28</v>
      </c>
    </row>
    <row r="324" spans="3:4" x14ac:dyDescent="0.55000000000000004">
      <c r="C324" s="5">
        <v>49982</v>
      </c>
      <c r="D324" t="s">
        <v>29</v>
      </c>
    </row>
    <row r="325" spans="3:4" x14ac:dyDescent="0.55000000000000004">
      <c r="C325" s="5">
        <v>50002</v>
      </c>
      <c r="D325" t="s">
        <v>30</v>
      </c>
    </row>
    <row r="326" spans="3:4" x14ac:dyDescent="0.55000000000000004">
      <c r="C326" s="5">
        <v>50003</v>
      </c>
      <c r="D326" t="s">
        <v>23</v>
      </c>
    </row>
    <row r="327" spans="3:4" x14ac:dyDescent="0.55000000000000004">
      <c r="C327" s="5">
        <v>50032</v>
      </c>
      <c r="D327" t="s">
        <v>31</v>
      </c>
    </row>
    <row r="328" spans="3:4" x14ac:dyDescent="0.55000000000000004">
      <c r="C328" s="5">
        <v>50041</v>
      </c>
      <c r="D328" t="s">
        <v>15</v>
      </c>
    </row>
    <row r="329" spans="3:4" x14ac:dyDescent="0.55000000000000004">
      <c r="C329" s="5">
        <v>50052</v>
      </c>
      <c r="D329" t="s">
        <v>16</v>
      </c>
    </row>
    <row r="330" spans="3:4" x14ac:dyDescent="0.55000000000000004">
      <c r="C330" s="5">
        <v>50082</v>
      </c>
      <c r="D330" t="s">
        <v>17</v>
      </c>
    </row>
    <row r="331" spans="3:4" x14ac:dyDescent="0.55000000000000004">
      <c r="C331" s="5">
        <v>50119</v>
      </c>
      <c r="D331" t="s">
        <v>18</v>
      </c>
    </row>
    <row r="332" spans="3:4" x14ac:dyDescent="0.55000000000000004">
      <c r="C332" s="5">
        <v>50159</v>
      </c>
      <c r="D332" t="s">
        <v>19</v>
      </c>
    </row>
    <row r="333" spans="3:4" x14ac:dyDescent="0.55000000000000004">
      <c r="C333" s="5">
        <v>50163</v>
      </c>
      <c r="D333" t="s">
        <v>20</v>
      </c>
    </row>
    <row r="334" spans="3:4" x14ac:dyDescent="0.55000000000000004">
      <c r="C334" s="5">
        <v>50164</v>
      </c>
      <c r="D334" t="s">
        <v>21</v>
      </c>
    </row>
    <row r="335" spans="3:4" x14ac:dyDescent="0.55000000000000004">
      <c r="C335" s="5">
        <v>50165</v>
      </c>
      <c r="D335" t="s">
        <v>22</v>
      </c>
    </row>
    <row r="336" spans="3:4" x14ac:dyDescent="0.55000000000000004">
      <c r="C336" s="5">
        <v>50166</v>
      </c>
      <c r="D336" t="s">
        <v>23</v>
      </c>
    </row>
    <row r="337" spans="3:4" x14ac:dyDescent="0.55000000000000004">
      <c r="C337" s="5">
        <v>50241</v>
      </c>
      <c r="D337" t="s">
        <v>24</v>
      </c>
    </row>
    <row r="338" spans="3:4" x14ac:dyDescent="0.55000000000000004">
      <c r="C338" s="5">
        <v>50263</v>
      </c>
      <c r="D338" t="s">
        <v>25</v>
      </c>
    </row>
    <row r="339" spans="3:4" x14ac:dyDescent="0.55000000000000004">
      <c r="C339" s="5">
        <v>50304</v>
      </c>
      <c r="D339" t="s">
        <v>26</v>
      </c>
    </row>
    <row r="340" spans="3:4" x14ac:dyDescent="0.55000000000000004">
      <c r="C340" s="5">
        <v>50305</v>
      </c>
      <c r="D340" t="s">
        <v>32</v>
      </c>
    </row>
    <row r="341" spans="3:4" x14ac:dyDescent="0.55000000000000004">
      <c r="C341" s="5">
        <v>50306</v>
      </c>
      <c r="D341" t="s">
        <v>27</v>
      </c>
    </row>
    <row r="342" spans="3:4" x14ac:dyDescent="0.55000000000000004">
      <c r="C342" s="5">
        <v>50325</v>
      </c>
      <c r="D342" t="s">
        <v>28</v>
      </c>
    </row>
    <row r="343" spans="3:4" x14ac:dyDescent="0.55000000000000004">
      <c r="C343" s="5">
        <v>50347</v>
      </c>
      <c r="D343" t="s">
        <v>29</v>
      </c>
    </row>
    <row r="344" spans="3:4" x14ac:dyDescent="0.55000000000000004">
      <c r="C344" s="5">
        <v>50367</v>
      </c>
      <c r="D344" t="s">
        <v>30</v>
      </c>
    </row>
    <row r="345" spans="3:4" x14ac:dyDescent="0.55000000000000004">
      <c r="C345" s="5">
        <v>50397</v>
      </c>
      <c r="D345" t="s">
        <v>31</v>
      </c>
    </row>
    <row r="346" spans="3:4" x14ac:dyDescent="0.55000000000000004">
      <c r="C346" s="5">
        <v>50406</v>
      </c>
      <c r="D346" t="s">
        <v>15</v>
      </c>
    </row>
    <row r="347" spans="3:4" x14ac:dyDescent="0.55000000000000004">
      <c r="C347" s="5">
        <v>50416</v>
      </c>
      <c r="D347" t="s">
        <v>16</v>
      </c>
    </row>
    <row r="348" spans="3:4" x14ac:dyDescent="0.55000000000000004">
      <c r="C348" s="5">
        <v>50447</v>
      </c>
      <c r="D348" t="s">
        <v>17</v>
      </c>
    </row>
    <row r="349" spans="3:4" x14ac:dyDescent="0.55000000000000004">
      <c r="C349" s="5">
        <v>50484</v>
      </c>
      <c r="D349" t="s">
        <v>18</v>
      </c>
    </row>
    <row r="350" spans="3:4" x14ac:dyDescent="0.55000000000000004">
      <c r="C350" s="5">
        <v>50524</v>
      </c>
      <c r="D350" t="s">
        <v>19</v>
      </c>
    </row>
    <row r="351" spans="3:4" x14ac:dyDescent="0.55000000000000004">
      <c r="C351" s="5">
        <v>50528</v>
      </c>
      <c r="D351" t="s">
        <v>20</v>
      </c>
    </row>
    <row r="352" spans="3:4" x14ac:dyDescent="0.55000000000000004">
      <c r="C352" s="5">
        <v>50529</v>
      </c>
      <c r="D352" t="s">
        <v>21</v>
      </c>
    </row>
    <row r="353" spans="3:4" x14ac:dyDescent="0.55000000000000004">
      <c r="C353" s="5">
        <v>50530</v>
      </c>
      <c r="D353" t="s">
        <v>22</v>
      </c>
    </row>
    <row r="354" spans="3:4" x14ac:dyDescent="0.55000000000000004">
      <c r="C354" s="5">
        <v>50605</v>
      </c>
      <c r="D354" t="s">
        <v>24</v>
      </c>
    </row>
    <row r="355" spans="3:4" x14ac:dyDescent="0.55000000000000004">
      <c r="C355" s="5">
        <v>50628</v>
      </c>
      <c r="D355" t="s">
        <v>25</v>
      </c>
    </row>
    <row r="356" spans="3:4" x14ac:dyDescent="0.55000000000000004">
      <c r="C356" s="5">
        <v>50668</v>
      </c>
      <c r="D356" t="s">
        <v>26</v>
      </c>
    </row>
    <row r="357" spans="3:4" x14ac:dyDescent="0.55000000000000004">
      <c r="C357" s="5">
        <v>50671</v>
      </c>
      <c r="D357" t="s">
        <v>27</v>
      </c>
    </row>
    <row r="358" spans="3:4" x14ac:dyDescent="0.55000000000000004">
      <c r="C358" s="5">
        <v>50689</v>
      </c>
      <c r="D358" t="s">
        <v>28</v>
      </c>
    </row>
    <row r="359" spans="3:4" x14ac:dyDescent="0.55000000000000004">
      <c r="C359" s="5">
        <v>50712</v>
      </c>
      <c r="D359" t="s">
        <v>29</v>
      </c>
    </row>
    <row r="360" spans="3:4" x14ac:dyDescent="0.55000000000000004">
      <c r="C360" s="5">
        <v>50732</v>
      </c>
      <c r="D360" t="s">
        <v>30</v>
      </c>
    </row>
    <row r="361" spans="3:4" x14ac:dyDescent="0.55000000000000004">
      <c r="C361" s="5">
        <v>50762</v>
      </c>
      <c r="D361" t="s">
        <v>31</v>
      </c>
    </row>
    <row r="362" spans="3:4" x14ac:dyDescent="0.55000000000000004">
      <c r="C362" s="5">
        <v>50771</v>
      </c>
      <c r="D362" t="s">
        <v>15</v>
      </c>
    </row>
    <row r="363" spans="3:4" x14ac:dyDescent="0.55000000000000004">
      <c r="C363" s="5">
        <v>50780</v>
      </c>
      <c r="D363" t="s">
        <v>16</v>
      </c>
    </row>
    <row r="364" spans="3:4" x14ac:dyDescent="0.55000000000000004">
      <c r="C364" s="5">
        <v>50812</v>
      </c>
      <c r="D364" t="s">
        <v>17</v>
      </c>
    </row>
    <row r="365" spans="3:4" x14ac:dyDescent="0.55000000000000004">
      <c r="C365" s="5">
        <v>50850</v>
      </c>
      <c r="D365" t="s">
        <v>18</v>
      </c>
    </row>
    <row r="366" spans="3:4" x14ac:dyDescent="0.55000000000000004">
      <c r="C366" s="5">
        <v>50889</v>
      </c>
      <c r="D366" t="s">
        <v>19</v>
      </c>
    </row>
    <row r="367" spans="3:4" x14ac:dyDescent="0.55000000000000004">
      <c r="C367" s="5">
        <v>50893</v>
      </c>
      <c r="D367" t="s">
        <v>20</v>
      </c>
    </row>
    <row r="368" spans="3:4" x14ac:dyDescent="0.55000000000000004">
      <c r="C368" s="5">
        <v>50894</v>
      </c>
      <c r="D368" t="s">
        <v>21</v>
      </c>
    </row>
    <row r="369" spans="3:4" x14ac:dyDescent="0.55000000000000004">
      <c r="C369" s="5">
        <v>50895</v>
      </c>
      <c r="D369" t="s">
        <v>22</v>
      </c>
    </row>
    <row r="370" spans="3:4" x14ac:dyDescent="0.55000000000000004">
      <c r="C370" s="5">
        <v>50969</v>
      </c>
      <c r="D370" t="s">
        <v>24</v>
      </c>
    </row>
    <row r="371" spans="3:4" x14ac:dyDescent="0.55000000000000004">
      <c r="C371" s="5">
        <v>50993</v>
      </c>
      <c r="D371" t="s">
        <v>25</v>
      </c>
    </row>
    <row r="372" spans="3:4" x14ac:dyDescent="0.55000000000000004">
      <c r="C372" s="5">
        <v>51032</v>
      </c>
      <c r="D372" t="s">
        <v>26</v>
      </c>
    </row>
    <row r="373" spans="3:4" x14ac:dyDescent="0.55000000000000004">
      <c r="C373" s="5">
        <v>51036</v>
      </c>
      <c r="D373" t="s">
        <v>27</v>
      </c>
    </row>
    <row r="374" spans="3:4" x14ac:dyDescent="0.55000000000000004">
      <c r="C374" s="5">
        <v>51053</v>
      </c>
      <c r="D374" t="s">
        <v>28</v>
      </c>
    </row>
    <row r="375" spans="3:4" x14ac:dyDescent="0.55000000000000004">
      <c r="C375" s="5">
        <v>51077</v>
      </c>
      <c r="D375" t="s">
        <v>29</v>
      </c>
    </row>
    <row r="376" spans="3:4" x14ac:dyDescent="0.55000000000000004">
      <c r="C376" s="5">
        <v>51097</v>
      </c>
      <c r="D376" t="s">
        <v>30</v>
      </c>
    </row>
    <row r="377" spans="3:4" x14ac:dyDescent="0.55000000000000004">
      <c r="C377" s="5">
        <v>51127</v>
      </c>
      <c r="D377" t="s">
        <v>31</v>
      </c>
    </row>
    <row r="378" spans="3:4" x14ac:dyDescent="0.55000000000000004">
      <c r="C378" s="5">
        <v>51136</v>
      </c>
      <c r="D378" t="s">
        <v>15</v>
      </c>
    </row>
    <row r="379" spans="3:4" x14ac:dyDescent="0.55000000000000004">
      <c r="C379" s="5">
        <v>51137</v>
      </c>
      <c r="D379" t="s">
        <v>23</v>
      </c>
    </row>
    <row r="380" spans="3:4" x14ac:dyDescent="0.55000000000000004">
      <c r="C380" s="5">
        <v>51144</v>
      </c>
      <c r="D380" t="s">
        <v>16</v>
      </c>
    </row>
    <row r="381" spans="3:4" x14ac:dyDescent="0.55000000000000004">
      <c r="C381" s="5">
        <v>51177</v>
      </c>
      <c r="D381" t="s">
        <v>17</v>
      </c>
    </row>
    <row r="382" spans="3:4" x14ac:dyDescent="0.55000000000000004">
      <c r="C382" s="5">
        <v>51215</v>
      </c>
      <c r="D382" t="s">
        <v>18</v>
      </c>
    </row>
    <row r="383" spans="3:4" x14ac:dyDescent="0.55000000000000004">
      <c r="C383" s="5">
        <v>51255</v>
      </c>
      <c r="D383" t="s">
        <v>19</v>
      </c>
    </row>
    <row r="384" spans="3:4" x14ac:dyDescent="0.55000000000000004">
      <c r="C384" s="5">
        <v>51256</v>
      </c>
      <c r="D384" t="s">
        <v>23</v>
      </c>
    </row>
    <row r="385" spans="3:4" x14ac:dyDescent="0.55000000000000004">
      <c r="C385" s="5">
        <v>51259</v>
      </c>
      <c r="D385" t="s">
        <v>20</v>
      </c>
    </row>
    <row r="386" spans="3:4" x14ac:dyDescent="0.55000000000000004">
      <c r="C386" s="5">
        <v>51260</v>
      </c>
      <c r="D386" t="s">
        <v>21</v>
      </c>
    </row>
    <row r="387" spans="3:4" x14ac:dyDescent="0.55000000000000004">
      <c r="C387" s="5">
        <v>51261</v>
      </c>
      <c r="D387" t="s">
        <v>22</v>
      </c>
    </row>
    <row r="388" spans="3:4" x14ac:dyDescent="0.55000000000000004">
      <c r="C388" s="5">
        <v>51333</v>
      </c>
      <c r="D388" t="s">
        <v>24</v>
      </c>
    </row>
    <row r="389" spans="3:4" x14ac:dyDescent="0.55000000000000004">
      <c r="C389" s="5">
        <v>51359</v>
      </c>
      <c r="D389" t="s">
        <v>25</v>
      </c>
    </row>
    <row r="390" spans="3:4" x14ac:dyDescent="0.55000000000000004">
      <c r="C390" s="5">
        <v>51396</v>
      </c>
      <c r="D390" t="s">
        <v>26</v>
      </c>
    </row>
    <row r="391" spans="3:4" x14ac:dyDescent="0.55000000000000004">
      <c r="C391" s="5">
        <v>51401</v>
      </c>
      <c r="D391" t="s">
        <v>27</v>
      </c>
    </row>
    <row r="392" spans="3:4" x14ac:dyDescent="0.55000000000000004">
      <c r="C392" s="5">
        <v>51417</v>
      </c>
      <c r="D392" t="s">
        <v>28</v>
      </c>
    </row>
    <row r="393" spans="3:4" x14ac:dyDescent="0.55000000000000004">
      <c r="C393" s="5">
        <v>51443</v>
      </c>
      <c r="D393" t="s">
        <v>29</v>
      </c>
    </row>
    <row r="394" spans="3:4" x14ac:dyDescent="0.55000000000000004">
      <c r="C394" s="5">
        <v>51463</v>
      </c>
      <c r="D394" t="s">
        <v>30</v>
      </c>
    </row>
    <row r="395" spans="3:4" x14ac:dyDescent="0.55000000000000004">
      <c r="C395" s="5">
        <v>51493</v>
      </c>
      <c r="D395" t="s">
        <v>31</v>
      </c>
    </row>
    <row r="396" spans="3:4" x14ac:dyDescent="0.55000000000000004">
      <c r="C396" s="5">
        <v>51494</v>
      </c>
      <c r="D396" t="s">
        <v>23</v>
      </c>
    </row>
    <row r="397" spans="3:4" x14ac:dyDescent="0.55000000000000004">
      <c r="C397" s="5">
        <v>51502</v>
      </c>
      <c r="D397" t="s">
        <v>15</v>
      </c>
    </row>
    <row r="398" spans="3:4" x14ac:dyDescent="0.55000000000000004">
      <c r="C398" s="5">
        <v>51515</v>
      </c>
      <c r="D398" t="s">
        <v>16</v>
      </c>
    </row>
    <row r="399" spans="3:4" x14ac:dyDescent="0.55000000000000004">
      <c r="C399" s="5">
        <v>51543</v>
      </c>
      <c r="D399" t="s">
        <v>17</v>
      </c>
    </row>
    <row r="400" spans="3:4" x14ac:dyDescent="0.55000000000000004">
      <c r="C400" s="5">
        <v>51580</v>
      </c>
      <c r="D400" t="s">
        <v>18</v>
      </c>
    </row>
    <row r="401" spans="3:4" x14ac:dyDescent="0.55000000000000004">
      <c r="C401" s="5">
        <v>51620</v>
      </c>
      <c r="D401" t="s">
        <v>19</v>
      </c>
    </row>
    <row r="402" spans="3:4" x14ac:dyDescent="0.55000000000000004">
      <c r="C402" s="5">
        <v>51624</v>
      </c>
      <c r="D402" t="s">
        <v>20</v>
      </c>
    </row>
    <row r="403" spans="3:4" x14ac:dyDescent="0.55000000000000004">
      <c r="C403" s="5">
        <v>51625</v>
      </c>
      <c r="D403" t="s">
        <v>21</v>
      </c>
    </row>
    <row r="404" spans="3:4" x14ac:dyDescent="0.55000000000000004">
      <c r="C404" s="5">
        <v>51626</v>
      </c>
      <c r="D404" t="s">
        <v>22</v>
      </c>
    </row>
    <row r="405" spans="3:4" x14ac:dyDescent="0.55000000000000004">
      <c r="C405" s="5">
        <v>51627</v>
      </c>
      <c r="D405" t="s">
        <v>23</v>
      </c>
    </row>
    <row r="406" spans="3:4" x14ac:dyDescent="0.55000000000000004">
      <c r="C406" s="5">
        <v>51697</v>
      </c>
      <c r="D406" t="s">
        <v>24</v>
      </c>
    </row>
    <row r="407" spans="3:4" x14ac:dyDescent="0.55000000000000004">
      <c r="C407" s="5">
        <v>51724</v>
      </c>
      <c r="D407" t="s">
        <v>25</v>
      </c>
    </row>
    <row r="408" spans="3:4" x14ac:dyDescent="0.55000000000000004">
      <c r="C408" s="5">
        <v>51725</v>
      </c>
      <c r="D408" t="s">
        <v>23</v>
      </c>
    </row>
    <row r="409" spans="3:4" x14ac:dyDescent="0.55000000000000004">
      <c r="C409" s="5">
        <v>51760</v>
      </c>
      <c r="D409" t="s">
        <v>26</v>
      </c>
    </row>
    <row r="410" spans="3:4" x14ac:dyDescent="0.55000000000000004">
      <c r="C410" s="5">
        <v>51767</v>
      </c>
      <c r="D410" t="s">
        <v>27</v>
      </c>
    </row>
    <row r="411" spans="3:4" x14ac:dyDescent="0.55000000000000004">
      <c r="C411" s="5">
        <v>51788</v>
      </c>
      <c r="D411" t="s">
        <v>28</v>
      </c>
    </row>
    <row r="412" spans="3:4" x14ac:dyDescent="0.55000000000000004">
      <c r="C412" s="5">
        <v>51808</v>
      </c>
      <c r="D412" t="s">
        <v>29</v>
      </c>
    </row>
    <row r="413" spans="3:4" x14ac:dyDescent="0.55000000000000004">
      <c r="C413" s="5">
        <v>51809</v>
      </c>
      <c r="D413" t="s">
        <v>23</v>
      </c>
    </row>
    <row r="414" spans="3:4" x14ac:dyDescent="0.55000000000000004">
      <c r="C414" s="5">
        <v>51828</v>
      </c>
      <c r="D414" t="s">
        <v>30</v>
      </c>
    </row>
    <row r="415" spans="3:4" x14ac:dyDescent="0.55000000000000004">
      <c r="C415" s="5">
        <v>51858</v>
      </c>
      <c r="D415" t="s">
        <v>31</v>
      </c>
    </row>
    <row r="416" spans="3:4" x14ac:dyDescent="0.55000000000000004">
      <c r="C416" s="5">
        <v>51867</v>
      </c>
      <c r="D416" t="s">
        <v>15</v>
      </c>
    </row>
    <row r="417" spans="3:4" x14ac:dyDescent="0.55000000000000004">
      <c r="C417" s="5">
        <v>51879</v>
      </c>
      <c r="D417" t="s">
        <v>16</v>
      </c>
    </row>
    <row r="418" spans="3:4" x14ac:dyDescent="0.55000000000000004">
      <c r="C418" s="5">
        <v>51908</v>
      </c>
      <c r="D418" t="s">
        <v>17</v>
      </c>
    </row>
    <row r="419" spans="3:4" x14ac:dyDescent="0.55000000000000004">
      <c r="C419" s="5">
        <v>51945</v>
      </c>
      <c r="D419" t="s">
        <v>18</v>
      </c>
    </row>
    <row r="420" spans="3:4" x14ac:dyDescent="0.55000000000000004">
      <c r="C420" s="5">
        <v>51985</v>
      </c>
      <c r="D420" t="s">
        <v>19</v>
      </c>
    </row>
    <row r="421" spans="3:4" x14ac:dyDescent="0.55000000000000004">
      <c r="C421" s="5">
        <v>51989</v>
      </c>
      <c r="D421" t="s">
        <v>20</v>
      </c>
    </row>
    <row r="422" spans="3:4" x14ac:dyDescent="0.55000000000000004">
      <c r="C422" s="5">
        <v>51990</v>
      </c>
      <c r="D422" t="s">
        <v>21</v>
      </c>
    </row>
    <row r="423" spans="3:4" x14ac:dyDescent="0.55000000000000004">
      <c r="C423" s="5">
        <v>51991</v>
      </c>
      <c r="D423" t="s">
        <v>22</v>
      </c>
    </row>
    <row r="424" spans="3:4" x14ac:dyDescent="0.55000000000000004">
      <c r="C424" s="5">
        <v>51992</v>
      </c>
      <c r="D424" t="s">
        <v>23</v>
      </c>
    </row>
    <row r="425" spans="3:4" x14ac:dyDescent="0.55000000000000004">
      <c r="C425" s="5">
        <v>52068</v>
      </c>
      <c r="D425" t="s">
        <v>24</v>
      </c>
    </row>
    <row r="426" spans="3:4" x14ac:dyDescent="0.55000000000000004">
      <c r="C426" s="5">
        <v>52089</v>
      </c>
      <c r="D426" t="s">
        <v>25</v>
      </c>
    </row>
    <row r="427" spans="3:4" x14ac:dyDescent="0.55000000000000004">
      <c r="C427" s="5">
        <v>52124</v>
      </c>
      <c r="D427" t="s">
        <v>26</v>
      </c>
    </row>
    <row r="428" spans="3:4" x14ac:dyDescent="0.55000000000000004">
      <c r="C428" s="5">
        <v>52132</v>
      </c>
      <c r="D428" t="s">
        <v>27</v>
      </c>
    </row>
    <row r="429" spans="3:4" x14ac:dyDescent="0.55000000000000004">
      <c r="C429" s="5">
        <v>52152</v>
      </c>
      <c r="D429" t="s">
        <v>28</v>
      </c>
    </row>
    <row r="430" spans="3:4" x14ac:dyDescent="0.55000000000000004">
      <c r="C430" s="5">
        <v>52173</v>
      </c>
      <c r="D430" t="s">
        <v>29</v>
      </c>
    </row>
    <row r="431" spans="3:4" x14ac:dyDescent="0.55000000000000004">
      <c r="C431" s="5">
        <v>52193</v>
      </c>
      <c r="D431" t="s">
        <v>30</v>
      </c>
    </row>
    <row r="432" spans="3:4" x14ac:dyDescent="0.55000000000000004">
      <c r="C432" s="5">
        <v>52194</v>
      </c>
      <c r="D432" t="s">
        <v>23</v>
      </c>
    </row>
    <row r="433" spans="3:4" x14ac:dyDescent="0.55000000000000004">
      <c r="C433" s="5">
        <v>52223</v>
      </c>
      <c r="D433" t="s">
        <v>31</v>
      </c>
    </row>
    <row r="434" spans="3:4" x14ac:dyDescent="0.55000000000000004">
      <c r="C434" s="5">
        <v>52232</v>
      </c>
      <c r="D434" t="s">
        <v>15</v>
      </c>
    </row>
    <row r="435" spans="3:4" x14ac:dyDescent="0.55000000000000004">
      <c r="C435" s="5">
        <v>52243</v>
      </c>
      <c r="D435" t="s">
        <v>16</v>
      </c>
    </row>
    <row r="436" spans="3:4" x14ac:dyDescent="0.55000000000000004">
      <c r="C436" s="5">
        <v>52273</v>
      </c>
      <c r="D436" t="s">
        <v>17</v>
      </c>
    </row>
    <row r="437" spans="3:4" x14ac:dyDescent="0.55000000000000004">
      <c r="C437" s="5">
        <v>52311</v>
      </c>
      <c r="D437" t="s">
        <v>18</v>
      </c>
    </row>
    <row r="438" spans="3:4" x14ac:dyDescent="0.55000000000000004">
      <c r="C438" s="5">
        <v>52350</v>
      </c>
      <c r="D438" t="s">
        <v>19</v>
      </c>
    </row>
    <row r="439" spans="3:4" x14ac:dyDescent="0.55000000000000004">
      <c r="C439" s="5">
        <v>52354</v>
      </c>
      <c r="D439" t="s">
        <v>20</v>
      </c>
    </row>
    <row r="440" spans="3:4" x14ac:dyDescent="0.55000000000000004">
      <c r="C440" s="5">
        <v>52355</v>
      </c>
      <c r="D440" t="s">
        <v>21</v>
      </c>
    </row>
    <row r="441" spans="3:4" x14ac:dyDescent="0.55000000000000004">
      <c r="C441" s="5">
        <v>52356</v>
      </c>
      <c r="D441" t="s">
        <v>22</v>
      </c>
    </row>
    <row r="442" spans="3:4" x14ac:dyDescent="0.55000000000000004">
      <c r="C442" s="5">
        <v>52357</v>
      </c>
      <c r="D442" t="s">
        <v>23</v>
      </c>
    </row>
    <row r="443" spans="3:4" x14ac:dyDescent="0.55000000000000004">
      <c r="C443" s="5">
        <v>52432</v>
      </c>
      <c r="D443" t="s">
        <v>24</v>
      </c>
    </row>
    <row r="444" spans="3:4" x14ac:dyDescent="0.55000000000000004">
      <c r="C444" s="5">
        <v>52454</v>
      </c>
      <c r="D444" t="s">
        <v>25</v>
      </c>
    </row>
    <row r="445" spans="3:4" x14ac:dyDescent="0.55000000000000004">
      <c r="C445" s="5">
        <v>52495</v>
      </c>
      <c r="D445" t="s">
        <v>26</v>
      </c>
    </row>
    <row r="446" spans="3:4" x14ac:dyDescent="0.55000000000000004">
      <c r="C446" s="5">
        <v>52496</v>
      </c>
      <c r="D446" t="s">
        <v>32</v>
      </c>
    </row>
    <row r="447" spans="3:4" x14ac:dyDescent="0.55000000000000004">
      <c r="C447" s="5">
        <v>52497</v>
      </c>
      <c r="D447" t="s">
        <v>27</v>
      </c>
    </row>
    <row r="448" spans="3:4" x14ac:dyDescent="0.55000000000000004">
      <c r="C448" s="5">
        <v>52516</v>
      </c>
      <c r="D448" t="s">
        <v>28</v>
      </c>
    </row>
    <row r="449" spans="3:4" x14ac:dyDescent="0.55000000000000004">
      <c r="C449" s="5">
        <v>52538</v>
      </c>
      <c r="D449" t="s">
        <v>29</v>
      </c>
    </row>
    <row r="450" spans="3:4" x14ac:dyDescent="0.55000000000000004">
      <c r="C450" s="5">
        <v>52558</v>
      </c>
      <c r="D450" t="s">
        <v>30</v>
      </c>
    </row>
    <row r="451" spans="3:4" x14ac:dyDescent="0.55000000000000004">
      <c r="C451" s="5">
        <v>52588</v>
      </c>
      <c r="D451" t="s">
        <v>31</v>
      </c>
    </row>
    <row r="452" spans="3:4" x14ac:dyDescent="0.55000000000000004">
      <c r="C452" s="5">
        <v>52597</v>
      </c>
      <c r="D452" t="s">
        <v>15</v>
      </c>
    </row>
    <row r="453" spans="3:4" x14ac:dyDescent="0.55000000000000004">
      <c r="C453" s="5">
        <v>52607</v>
      </c>
      <c r="D453" t="s">
        <v>16</v>
      </c>
    </row>
    <row r="454" spans="3:4" x14ac:dyDescent="0.55000000000000004">
      <c r="C454" s="5">
        <v>52638</v>
      </c>
      <c r="D454" t="s">
        <v>17</v>
      </c>
    </row>
    <row r="455" spans="3:4" x14ac:dyDescent="0.55000000000000004">
      <c r="C455" s="5">
        <v>52676</v>
      </c>
      <c r="D455" t="s">
        <v>18</v>
      </c>
    </row>
    <row r="456" spans="3:4" x14ac:dyDescent="0.55000000000000004">
      <c r="C456" s="5">
        <v>52677</v>
      </c>
      <c r="D456" t="s">
        <v>23</v>
      </c>
    </row>
    <row r="457" spans="3:4" x14ac:dyDescent="0.55000000000000004">
      <c r="C457" s="5">
        <v>52716</v>
      </c>
      <c r="D457" t="s">
        <v>19</v>
      </c>
    </row>
    <row r="458" spans="3:4" x14ac:dyDescent="0.55000000000000004">
      <c r="C458" s="5">
        <v>52720</v>
      </c>
      <c r="D458" t="s">
        <v>20</v>
      </c>
    </row>
    <row r="459" spans="3:4" x14ac:dyDescent="0.55000000000000004">
      <c r="C459" s="5">
        <v>52721</v>
      </c>
      <c r="D459" t="s">
        <v>21</v>
      </c>
    </row>
    <row r="460" spans="3:4" x14ac:dyDescent="0.55000000000000004">
      <c r="C460" s="5">
        <v>52722</v>
      </c>
      <c r="D460" t="s">
        <v>22</v>
      </c>
    </row>
    <row r="461" spans="3:4" x14ac:dyDescent="0.55000000000000004">
      <c r="C461" s="5">
        <v>52796</v>
      </c>
      <c r="D461" t="s">
        <v>24</v>
      </c>
    </row>
    <row r="462" spans="3:4" x14ac:dyDescent="0.55000000000000004">
      <c r="C462" s="5">
        <v>52820</v>
      </c>
      <c r="D462" t="s">
        <v>25</v>
      </c>
    </row>
    <row r="463" spans="3:4" x14ac:dyDescent="0.55000000000000004">
      <c r="C463" s="5">
        <v>52859</v>
      </c>
      <c r="D463" t="s">
        <v>26</v>
      </c>
    </row>
    <row r="464" spans="3:4" x14ac:dyDescent="0.55000000000000004">
      <c r="C464" s="5">
        <v>52862</v>
      </c>
      <c r="D464" t="s">
        <v>27</v>
      </c>
    </row>
    <row r="465" spans="3:4" x14ac:dyDescent="0.55000000000000004">
      <c r="C465" s="5">
        <v>52880</v>
      </c>
      <c r="D465" t="s">
        <v>28</v>
      </c>
    </row>
    <row r="466" spans="3:4" x14ac:dyDescent="0.55000000000000004">
      <c r="C466" s="5">
        <v>52904</v>
      </c>
      <c r="D466" t="s">
        <v>29</v>
      </c>
    </row>
    <row r="467" spans="3:4" x14ac:dyDescent="0.55000000000000004">
      <c r="C467" s="5">
        <v>52924</v>
      </c>
      <c r="D467" t="s">
        <v>30</v>
      </c>
    </row>
    <row r="468" spans="3:4" x14ac:dyDescent="0.55000000000000004">
      <c r="C468" s="5">
        <v>52954</v>
      </c>
      <c r="D468" t="s">
        <v>31</v>
      </c>
    </row>
    <row r="469" spans="3:4" x14ac:dyDescent="0.55000000000000004">
      <c r="C469" s="5">
        <v>52963</v>
      </c>
      <c r="D469" t="s">
        <v>15</v>
      </c>
    </row>
    <row r="470" spans="3:4" x14ac:dyDescent="0.55000000000000004">
      <c r="C470" s="5">
        <v>52964</v>
      </c>
      <c r="D470" t="s">
        <v>23</v>
      </c>
    </row>
    <row r="471" spans="3:4" x14ac:dyDescent="0.55000000000000004">
      <c r="C471" s="5">
        <v>52971</v>
      </c>
      <c r="D471" t="s">
        <v>16</v>
      </c>
    </row>
    <row r="472" spans="3:4" x14ac:dyDescent="0.55000000000000004">
      <c r="C472" s="5">
        <v>53004</v>
      </c>
      <c r="D472" t="s">
        <v>17</v>
      </c>
    </row>
    <row r="473" spans="3:4" x14ac:dyDescent="0.55000000000000004">
      <c r="C473" s="5">
        <v>53041</v>
      </c>
      <c r="D473" t="s">
        <v>18</v>
      </c>
    </row>
    <row r="474" spans="3:4" x14ac:dyDescent="0.55000000000000004">
      <c r="C474" s="5">
        <v>53081</v>
      </c>
      <c r="D474" t="s">
        <v>19</v>
      </c>
    </row>
    <row r="475" spans="3:4" x14ac:dyDescent="0.55000000000000004">
      <c r="C475" s="5">
        <v>53085</v>
      </c>
      <c r="D475" t="s">
        <v>20</v>
      </c>
    </row>
    <row r="476" spans="3:4" x14ac:dyDescent="0.55000000000000004">
      <c r="C476" s="5">
        <v>53086</v>
      </c>
      <c r="D476" t="s">
        <v>21</v>
      </c>
    </row>
    <row r="477" spans="3:4" x14ac:dyDescent="0.55000000000000004">
      <c r="C477" s="5">
        <v>53087</v>
      </c>
      <c r="D477" t="s">
        <v>22</v>
      </c>
    </row>
    <row r="478" spans="3:4" x14ac:dyDescent="0.55000000000000004">
      <c r="C478" s="5">
        <v>53160</v>
      </c>
      <c r="D478" t="s">
        <v>24</v>
      </c>
    </row>
    <row r="479" spans="3:4" x14ac:dyDescent="0.55000000000000004">
      <c r="C479" s="5">
        <v>53185</v>
      </c>
      <c r="D479" t="s">
        <v>25</v>
      </c>
    </row>
    <row r="480" spans="3:4" x14ac:dyDescent="0.55000000000000004">
      <c r="C480" s="5">
        <v>53223</v>
      </c>
      <c r="D480" t="s">
        <v>26</v>
      </c>
    </row>
    <row r="481" spans="3:4" x14ac:dyDescent="0.55000000000000004">
      <c r="C481" s="5">
        <v>53227</v>
      </c>
      <c r="D481" t="s">
        <v>27</v>
      </c>
    </row>
    <row r="482" spans="3:4" x14ac:dyDescent="0.55000000000000004">
      <c r="C482" s="5">
        <v>53244</v>
      </c>
      <c r="D482" t="s">
        <v>28</v>
      </c>
    </row>
    <row r="483" spans="3:4" x14ac:dyDescent="0.55000000000000004">
      <c r="C483" s="5">
        <v>53269</v>
      </c>
      <c r="D483" t="s">
        <v>29</v>
      </c>
    </row>
    <row r="484" spans="3:4" x14ac:dyDescent="0.55000000000000004">
      <c r="C484" s="5">
        <v>53289</v>
      </c>
      <c r="D484" t="s">
        <v>30</v>
      </c>
    </row>
    <row r="485" spans="3:4" x14ac:dyDescent="0.55000000000000004">
      <c r="C485" s="5">
        <v>53319</v>
      </c>
      <c r="D485" t="s">
        <v>31</v>
      </c>
    </row>
    <row r="486" spans="3:4" x14ac:dyDescent="0.55000000000000004">
      <c r="C486" s="5">
        <v>53328</v>
      </c>
      <c r="D486" t="s">
        <v>15</v>
      </c>
    </row>
    <row r="487" spans="3:4" x14ac:dyDescent="0.55000000000000004">
      <c r="C487" s="5">
        <v>53335</v>
      </c>
      <c r="D487" t="s">
        <v>16</v>
      </c>
    </row>
    <row r="488" spans="3:4" x14ac:dyDescent="0.55000000000000004">
      <c r="C488" s="5">
        <v>53369</v>
      </c>
      <c r="D488" t="s">
        <v>17</v>
      </c>
    </row>
    <row r="489" spans="3:4" x14ac:dyDescent="0.55000000000000004">
      <c r="C489" s="5">
        <v>53370</v>
      </c>
      <c r="D489" t="s">
        <v>23</v>
      </c>
    </row>
    <row r="490" spans="3:4" x14ac:dyDescent="0.55000000000000004">
      <c r="C490" s="5">
        <v>53406</v>
      </c>
      <c r="D490" t="s">
        <v>18</v>
      </c>
    </row>
    <row r="491" spans="3:4" x14ac:dyDescent="0.55000000000000004">
      <c r="C491" s="5">
        <v>53446</v>
      </c>
      <c r="D491" t="s">
        <v>19</v>
      </c>
    </row>
    <row r="492" spans="3:4" x14ac:dyDescent="0.55000000000000004">
      <c r="C492" s="5">
        <v>53447</v>
      </c>
      <c r="D492" t="s">
        <v>23</v>
      </c>
    </row>
    <row r="493" spans="3:4" x14ac:dyDescent="0.55000000000000004">
      <c r="C493" s="5">
        <v>53450</v>
      </c>
      <c r="D493" t="s">
        <v>20</v>
      </c>
    </row>
    <row r="494" spans="3:4" x14ac:dyDescent="0.55000000000000004">
      <c r="C494" s="5">
        <v>53451</v>
      </c>
      <c r="D494" t="s">
        <v>21</v>
      </c>
    </row>
    <row r="495" spans="3:4" x14ac:dyDescent="0.55000000000000004">
      <c r="C495" s="5">
        <v>53452</v>
      </c>
      <c r="D495" t="s">
        <v>22</v>
      </c>
    </row>
    <row r="496" spans="3:4" x14ac:dyDescent="0.55000000000000004">
      <c r="C496" s="5">
        <v>53524</v>
      </c>
      <c r="D496" t="s">
        <v>24</v>
      </c>
    </row>
    <row r="497" spans="3:4" x14ac:dyDescent="0.55000000000000004">
      <c r="C497" s="5">
        <v>53550</v>
      </c>
      <c r="D497" t="s">
        <v>25</v>
      </c>
    </row>
    <row r="498" spans="3:4" x14ac:dyDescent="0.55000000000000004">
      <c r="C498" s="5">
        <v>53587</v>
      </c>
      <c r="D498" t="s">
        <v>26</v>
      </c>
    </row>
    <row r="499" spans="3:4" x14ac:dyDescent="0.55000000000000004">
      <c r="C499" s="5">
        <v>53593</v>
      </c>
      <c r="D499" t="s">
        <v>27</v>
      </c>
    </row>
    <row r="500" spans="3:4" x14ac:dyDescent="0.55000000000000004">
      <c r="C500" s="5">
        <v>53594</v>
      </c>
      <c r="D500" t="s">
        <v>23</v>
      </c>
    </row>
    <row r="501" spans="3:4" x14ac:dyDescent="0.55000000000000004">
      <c r="C501" s="5">
        <v>53608</v>
      </c>
      <c r="D501" t="s">
        <v>28</v>
      </c>
    </row>
    <row r="502" spans="3:4" x14ac:dyDescent="0.55000000000000004">
      <c r="C502" s="5">
        <v>53634</v>
      </c>
      <c r="D502" t="s">
        <v>29</v>
      </c>
    </row>
    <row r="503" spans="3:4" x14ac:dyDescent="0.55000000000000004">
      <c r="C503" s="5">
        <v>53654</v>
      </c>
      <c r="D503" t="s">
        <v>30</v>
      </c>
    </row>
    <row r="504" spans="3:4" x14ac:dyDescent="0.55000000000000004">
      <c r="C504" s="5">
        <v>53684</v>
      </c>
      <c r="D504" t="s">
        <v>31</v>
      </c>
    </row>
    <row r="505" spans="3:4" x14ac:dyDescent="0.55000000000000004">
      <c r="C505" s="5">
        <v>53685</v>
      </c>
      <c r="D505" t="s">
        <v>23</v>
      </c>
    </row>
    <row r="506" spans="3:4" x14ac:dyDescent="0.55000000000000004">
      <c r="C506" s="5">
        <v>53693</v>
      </c>
      <c r="D506" t="s">
        <v>15</v>
      </c>
    </row>
    <row r="507" spans="3:4" x14ac:dyDescent="0.55000000000000004">
      <c r="C507" s="5">
        <v>53706</v>
      </c>
      <c r="D507" t="s">
        <v>16</v>
      </c>
    </row>
    <row r="508" spans="3:4" x14ac:dyDescent="0.55000000000000004">
      <c r="C508" s="5">
        <v>53734</v>
      </c>
      <c r="D508" t="s">
        <v>17</v>
      </c>
    </row>
    <row r="509" spans="3:4" x14ac:dyDescent="0.55000000000000004">
      <c r="C509" s="5">
        <v>53772</v>
      </c>
      <c r="D509" t="s">
        <v>18</v>
      </c>
    </row>
    <row r="510" spans="3:4" x14ac:dyDescent="0.55000000000000004">
      <c r="C510" s="5">
        <v>53811</v>
      </c>
      <c r="D510" t="s">
        <v>19</v>
      </c>
    </row>
    <row r="511" spans="3:4" x14ac:dyDescent="0.55000000000000004">
      <c r="C511" s="5">
        <v>53815</v>
      </c>
      <c r="D511" t="s">
        <v>20</v>
      </c>
    </row>
    <row r="512" spans="3:4" x14ac:dyDescent="0.55000000000000004">
      <c r="C512" s="5">
        <v>53816</v>
      </c>
      <c r="D512" t="s">
        <v>21</v>
      </c>
    </row>
    <row r="513" spans="3:4" x14ac:dyDescent="0.55000000000000004">
      <c r="C513" s="5">
        <v>53817</v>
      </c>
      <c r="D513" t="s">
        <v>22</v>
      </c>
    </row>
    <row r="514" spans="3:4" x14ac:dyDescent="0.55000000000000004">
      <c r="C514" s="5">
        <v>53818</v>
      </c>
      <c r="D514" t="s">
        <v>23</v>
      </c>
    </row>
    <row r="515" spans="3:4" x14ac:dyDescent="0.55000000000000004">
      <c r="C515" s="5">
        <v>53888</v>
      </c>
      <c r="D515" t="s">
        <v>24</v>
      </c>
    </row>
    <row r="516" spans="3:4" x14ac:dyDescent="0.55000000000000004">
      <c r="C516" s="5">
        <v>53915</v>
      </c>
      <c r="D516" t="s">
        <v>25</v>
      </c>
    </row>
    <row r="517" spans="3:4" x14ac:dyDescent="0.55000000000000004">
      <c r="C517" s="5">
        <v>53916</v>
      </c>
      <c r="D517" t="s">
        <v>23</v>
      </c>
    </row>
    <row r="518" spans="3:4" x14ac:dyDescent="0.55000000000000004">
      <c r="C518" s="5">
        <v>53951</v>
      </c>
      <c r="D518" t="s">
        <v>26</v>
      </c>
    </row>
    <row r="519" spans="3:4" x14ac:dyDescent="0.55000000000000004">
      <c r="C519" s="5">
        <v>53958</v>
      </c>
      <c r="D519" t="s">
        <v>27</v>
      </c>
    </row>
    <row r="520" spans="3:4" x14ac:dyDescent="0.55000000000000004">
      <c r="C520" s="5">
        <v>53979</v>
      </c>
      <c r="D520" t="s">
        <v>28</v>
      </c>
    </row>
    <row r="521" spans="3:4" x14ac:dyDescent="0.55000000000000004">
      <c r="C521" s="5">
        <v>53999</v>
      </c>
      <c r="D521" t="s">
        <v>29</v>
      </c>
    </row>
    <row r="522" spans="3:4" x14ac:dyDescent="0.55000000000000004">
      <c r="C522" s="5">
        <v>54000</v>
      </c>
      <c r="D522" t="s">
        <v>23</v>
      </c>
    </row>
    <row r="523" spans="3:4" x14ac:dyDescent="0.55000000000000004">
      <c r="C523" s="5">
        <v>54019</v>
      </c>
      <c r="D523" t="s">
        <v>30</v>
      </c>
    </row>
    <row r="524" spans="3:4" x14ac:dyDescent="0.55000000000000004">
      <c r="C524" s="5">
        <v>54049</v>
      </c>
      <c r="D524" t="s">
        <v>31</v>
      </c>
    </row>
    <row r="525" spans="3:4" x14ac:dyDescent="0.55000000000000004">
      <c r="C525" s="5">
        <v>54058</v>
      </c>
      <c r="D525" t="s">
        <v>15</v>
      </c>
    </row>
    <row r="526" spans="3:4" x14ac:dyDescent="0.55000000000000004">
      <c r="C526" s="5">
        <v>54070</v>
      </c>
      <c r="D526" t="s">
        <v>16</v>
      </c>
    </row>
    <row r="527" spans="3:4" x14ac:dyDescent="0.55000000000000004">
      <c r="C527" s="5">
        <v>54099</v>
      </c>
      <c r="D527" t="s">
        <v>17</v>
      </c>
    </row>
    <row r="528" spans="3:4" x14ac:dyDescent="0.55000000000000004">
      <c r="C528" s="5">
        <v>54137</v>
      </c>
      <c r="D528" t="s">
        <v>18</v>
      </c>
    </row>
    <row r="529" spans="3:4" x14ac:dyDescent="0.55000000000000004">
      <c r="C529" s="5">
        <v>54177</v>
      </c>
      <c r="D529" t="s">
        <v>19</v>
      </c>
    </row>
    <row r="530" spans="3:4" x14ac:dyDescent="0.55000000000000004">
      <c r="C530" s="5">
        <v>54181</v>
      </c>
      <c r="D530" t="s">
        <v>20</v>
      </c>
    </row>
    <row r="531" spans="3:4" x14ac:dyDescent="0.55000000000000004">
      <c r="C531" s="5">
        <v>54182</v>
      </c>
      <c r="D531" t="s">
        <v>21</v>
      </c>
    </row>
    <row r="532" spans="3:4" x14ac:dyDescent="0.55000000000000004">
      <c r="C532" s="5">
        <v>54183</v>
      </c>
      <c r="D532" t="s">
        <v>22</v>
      </c>
    </row>
    <row r="533" spans="3:4" x14ac:dyDescent="0.55000000000000004">
      <c r="C533" s="5">
        <v>54184</v>
      </c>
      <c r="D533" t="s">
        <v>23</v>
      </c>
    </row>
    <row r="534" spans="3:4" x14ac:dyDescent="0.55000000000000004">
      <c r="C534" s="5">
        <v>54259</v>
      </c>
      <c r="D534" t="s">
        <v>24</v>
      </c>
    </row>
    <row r="535" spans="3:4" x14ac:dyDescent="0.55000000000000004">
      <c r="C535" s="5">
        <v>54281</v>
      </c>
      <c r="D535" t="s">
        <v>25</v>
      </c>
    </row>
    <row r="536" spans="3:4" x14ac:dyDescent="0.55000000000000004">
      <c r="C536" s="5">
        <v>54322</v>
      </c>
      <c r="D536" t="s">
        <v>26</v>
      </c>
    </row>
    <row r="537" spans="3:4" x14ac:dyDescent="0.55000000000000004">
      <c r="C537" s="5">
        <v>54323</v>
      </c>
      <c r="D537" t="s">
        <v>27</v>
      </c>
    </row>
    <row r="538" spans="3:4" x14ac:dyDescent="0.55000000000000004">
      <c r="C538" s="5">
        <v>54343</v>
      </c>
      <c r="D538" t="s">
        <v>28</v>
      </c>
    </row>
    <row r="539" spans="3:4" x14ac:dyDescent="0.55000000000000004">
      <c r="C539" s="5">
        <v>54365</v>
      </c>
      <c r="D539" t="s">
        <v>29</v>
      </c>
    </row>
    <row r="540" spans="3:4" x14ac:dyDescent="0.55000000000000004">
      <c r="C540" s="5">
        <v>54385</v>
      </c>
      <c r="D540" t="s">
        <v>30</v>
      </c>
    </row>
    <row r="541" spans="3:4" x14ac:dyDescent="0.55000000000000004">
      <c r="C541" s="5">
        <v>54415</v>
      </c>
      <c r="D541" t="s">
        <v>31</v>
      </c>
    </row>
    <row r="542" spans="3:4" x14ac:dyDescent="0.55000000000000004">
      <c r="C542" s="5">
        <v>54424</v>
      </c>
      <c r="D542" t="s">
        <v>15</v>
      </c>
    </row>
    <row r="543" spans="3:4" x14ac:dyDescent="0.55000000000000004">
      <c r="C543" s="5">
        <v>54434</v>
      </c>
      <c r="D543" t="s">
        <v>16</v>
      </c>
    </row>
    <row r="544" spans="3:4" x14ac:dyDescent="0.55000000000000004">
      <c r="C544" s="5">
        <v>54465</v>
      </c>
      <c r="D544" t="s">
        <v>17</v>
      </c>
    </row>
    <row r="545" spans="3:4" x14ac:dyDescent="0.55000000000000004">
      <c r="C545" s="5">
        <v>54502</v>
      </c>
      <c r="D545" t="s">
        <v>18</v>
      </c>
    </row>
    <row r="546" spans="3:4" x14ac:dyDescent="0.55000000000000004">
      <c r="C546" s="5">
        <v>54542</v>
      </c>
      <c r="D546" t="s">
        <v>19</v>
      </c>
    </row>
    <row r="547" spans="3:4" x14ac:dyDescent="0.55000000000000004">
      <c r="C547" s="5">
        <v>54546</v>
      </c>
      <c r="D547" t="s">
        <v>20</v>
      </c>
    </row>
    <row r="548" spans="3:4" x14ac:dyDescent="0.55000000000000004">
      <c r="C548" s="5">
        <v>54547</v>
      </c>
      <c r="D548" t="s">
        <v>21</v>
      </c>
    </row>
    <row r="549" spans="3:4" x14ac:dyDescent="0.55000000000000004">
      <c r="C549" s="5">
        <v>54548</v>
      </c>
      <c r="D549" t="s">
        <v>22</v>
      </c>
    </row>
    <row r="550" spans="3:4" x14ac:dyDescent="0.55000000000000004">
      <c r="C550" s="5">
        <v>54623</v>
      </c>
      <c r="D550" t="s">
        <v>24</v>
      </c>
    </row>
    <row r="551" spans="3:4" x14ac:dyDescent="0.55000000000000004">
      <c r="C551" s="5">
        <v>54646</v>
      </c>
      <c r="D551" t="s">
        <v>25</v>
      </c>
    </row>
    <row r="552" spans="3:4" x14ac:dyDescent="0.55000000000000004">
      <c r="C552" s="5">
        <v>54686</v>
      </c>
      <c r="D552" t="s">
        <v>26</v>
      </c>
    </row>
    <row r="553" spans="3:4" x14ac:dyDescent="0.55000000000000004">
      <c r="C553" s="5">
        <v>54687</v>
      </c>
      <c r="D553" t="s">
        <v>32</v>
      </c>
    </row>
    <row r="554" spans="3:4" x14ac:dyDescent="0.55000000000000004">
      <c r="C554" s="5">
        <v>54688</v>
      </c>
      <c r="D554" t="s">
        <v>27</v>
      </c>
    </row>
    <row r="555" spans="3:4" x14ac:dyDescent="0.55000000000000004">
      <c r="C555" s="5">
        <v>54707</v>
      </c>
      <c r="D555" t="s">
        <v>28</v>
      </c>
    </row>
    <row r="556" spans="3:4" x14ac:dyDescent="0.55000000000000004">
      <c r="C556" s="5">
        <v>54730</v>
      </c>
      <c r="D556" t="s">
        <v>29</v>
      </c>
    </row>
    <row r="557" spans="3:4" x14ac:dyDescent="0.55000000000000004">
      <c r="C557" s="5">
        <v>54750</v>
      </c>
      <c r="D557" t="s">
        <v>30</v>
      </c>
    </row>
    <row r="558" spans="3:4" x14ac:dyDescent="0.55000000000000004">
      <c r="C558" s="5">
        <v>54780</v>
      </c>
      <c r="D558" t="s">
        <v>31</v>
      </c>
    </row>
    <row r="559" spans="3:4" x14ac:dyDescent="0.55000000000000004">
      <c r="C559" s="5">
        <v>54789</v>
      </c>
      <c r="D559" t="s">
        <v>15</v>
      </c>
    </row>
    <row r="560" spans="3:4" x14ac:dyDescent="0.55000000000000004">
      <c r="C560" s="5">
        <v>54798</v>
      </c>
      <c r="D560" t="s">
        <v>16</v>
      </c>
    </row>
    <row r="561" spans="3:4" x14ac:dyDescent="0.55000000000000004">
      <c r="C561" s="5">
        <v>54830</v>
      </c>
      <c r="D561" t="s">
        <v>17</v>
      </c>
    </row>
    <row r="562" spans="3:4" x14ac:dyDescent="0.55000000000000004">
      <c r="C562" s="5">
        <v>54867</v>
      </c>
      <c r="D562" t="s">
        <v>18</v>
      </c>
    </row>
    <row r="563" spans="3:4" x14ac:dyDescent="0.55000000000000004">
      <c r="C563" s="5">
        <v>54868</v>
      </c>
      <c r="D563" t="s">
        <v>23</v>
      </c>
    </row>
    <row r="564" spans="3:4" x14ac:dyDescent="0.55000000000000004">
      <c r="C564" s="5">
        <v>54907</v>
      </c>
      <c r="D564" t="s">
        <v>19</v>
      </c>
    </row>
    <row r="565" spans="3:4" x14ac:dyDescent="0.55000000000000004">
      <c r="C565" s="5">
        <v>54911</v>
      </c>
      <c r="D565" t="s">
        <v>20</v>
      </c>
    </row>
    <row r="566" spans="3:4" x14ac:dyDescent="0.55000000000000004">
      <c r="C566" s="5">
        <v>54912</v>
      </c>
      <c r="D566" t="s">
        <v>21</v>
      </c>
    </row>
    <row r="567" spans="3:4" x14ac:dyDescent="0.55000000000000004">
      <c r="C567" s="5">
        <v>54913</v>
      </c>
      <c r="D567" t="s">
        <v>22</v>
      </c>
    </row>
    <row r="568" spans="3:4" x14ac:dyDescent="0.55000000000000004">
      <c r="C568" s="5">
        <v>54987</v>
      </c>
      <c r="D568" t="s">
        <v>24</v>
      </c>
    </row>
    <row r="569" spans="3:4" x14ac:dyDescent="0.55000000000000004">
      <c r="C569" s="5">
        <v>55011</v>
      </c>
      <c r="D569" t="s">
        <v>25</v>
      </c>
    </row>
    <row r="570" spans="3:4" x14ac:dyDescent="0.55000000000000004">
      <c r="C570" s="5">
        <v>55050</v>
      </c>
      <c r="D570" t="s">
        <v>26</v>
      </c>
    </row>
    <row r="571" spans="3:4" x14ac:dyDescent="0.55000000000000004">
      <c r="C571" s="5">
        <v>55054</v>
      </c>
      <c r="D571" t="s">
        <v>27</v>
      </c>
    </row>
    <row r="572" spans="3:4" x14ac:dyDescent="0.55000000000000004">
      <c r="C572" s="5">
        <v>55071</v>
      </c>
      <c r="D572" t="s">
        <v>28</v>
      </c>
    </row>
    <row r="573" spans="3:4" x14ac:dyDescent="0.55000000000000004">
      <c r="C573" s="5">
        <v>55095</v>
      </c>
      <c r="D573" t="s">
        <v>29</v>
      </c>
    </row>
    <row r="574" spans="3:4" x14ac:dyDescent="0.55000000000000004">
      <c r="C574" s="5">
        <v>55115</v>
      </c>
      <c r="D574" t="s">
        <v>30</v>
      </c>
    </row>
    <row r="575" spans="3:4" x14ac:dyDescent="0.55000000000000004">
      <c r="C575" s="5">
        <v>55145</v>
      </c>
      <c r="D575" t="s">
        <v>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線表</vt:lpstr>
      <vt:lpstr>メンバ</vt:lpstr>
      <vt:lpstr>稼働日設定</vt:lpstr>
      <vt:lpstr>非稼働日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Taichi Kitamura</dc:creator>
  <cp:lastModifiedBy>Taichi Kitamura</cp:lastModifiedBy>
  <dcterms:created xsi:type="dcterms:W3CDTF">2019-03-02T18:26:46Z</dcterms:created>
  <dcterms:modified xsi:type="dcterms:W3CDTF">2019-06-30T15:03:00Z</dcterms:modified>
</cp:coreProperties>
</file>